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idal_datum_summary" sheetId="2" state="visible" r:id="rId2"/>
    <sheet xmlns:r="http://schemas.openxmlformats.org/officeDocument/2006/relationships" name="habitat_boundaries_raw" sheetId="3" state="visible" r:id="rId3"/>
    <sheet xmlns:r="http://schemas.openxmlformats.org/officeDocument/2006/relationships" name="STPI_by_estuary" sheetId="4" state="visible" r:id="rId4"/>
    <sheet xmlns:r="http://schemas.openxmlformats.org/officeDocument/2006/relationships" name="national_summary_Table3" sheetId="5" state="visible" r:id="rId5"/>
    <sheet xmlns:r="http://schemas.openxmlformats.org/officeDocument/2006/relationships" name="Table_S3_estuary_detail" sheetId="6" state="visible" r:id="rId6"/>
    <sheet xmlns:r="http://schemas.openxmlformats.org/officeDocument/2006/relationships" name="excluded_estuar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STPI calculations — Stewart-Sinclair et al., Estuarine, Coastal and Shelf Science</t>
        </is>
      </c>
    </row>
    <row r="3">
      <c r="A3" s="2" t="inlineStr">
        <is>
          <t>This workbook calculates the Standard Tidal Position Index (STPI) for coastal wetland habitat boundaries across 47 New Zealand estuaries, combining tidal datum data with habitat elevation boundaries derived from ordinal/binomial regression.</t>
        </is>
      </c>
    </row>
    <row r="5">
      <c r="B5" s="2" t="inlineStr"/>
    </row>
    <row r="6">
      <c r="A6" s="3" t="inlineStr">
        <is>
          <t>Sheet</t>
        </is>
      </c>
      <c r="B6" s="4" t="inlineStr">
        <is>
          <t>Contents</t>
        </is>
      </c>
    </row>
    <row r="7">
      <c r="A7" t="inlineStr">
        <is>
          <t>tidal_datum_summary</t>
        </is>
      </c>
      <c r="B7" s="2" t="inlineStr">
        <is>
          <t>Estuary-specific HAT/LAT tidal datums from the TELEMAC-2D model (mean, min, max, node count). Source: 04_tidal_datum_summary.R.</t>
        </is>
      </c>
    </row>
    <row r="8">
      <c r="A8" t="inlineStr">
        <is>
          <t>habitat_boundaries_raw</t>
        </is>
      </c>
      <c r="B8" s="2" t="inlineStr">
        <is>
          <t>Raw habitat elevation transition boundaries (m, referenced to NZVD2016) from weighted ordinal/binomial logistic regression, before conversion to STPI. Source: 03_ordinal_regression_boundaries.R.</t>
        </is>
      </c>
    </row>
    <row r="9">
      <c r="A9" t="inlineStr">
        <is>
          <t>STPI_by_estuary</t>
        </is>
      </c>
      <c r="B9" s="2" t="inlineStr">
        <is>
          <t>STPI value for every habitat boundary in every estuary (Table 1 and Table 2 in the manuscript, combined). Includes live formulas so the calculation is auditable.</t>
        </is>
      </c>
    </row>
    <row r="10">
      <c r="A10" t="inlineStr">
        <is>
          <t>national_summary_Table3</t>
        </is>
      </c>
      <c r="B10" s="2" t="inlineStr">
        <is>
          <t>National median and IQR STPI values by habitat boundary, split by mangrove presence/absence (matches manuscript Table 3). Computed with live formulas referencing STPI_by_estuary.</t>
        </is>
      </c>
    </row>
    <row r="11">
      <c r="A11" t="inlineStr">
        <is>
          <t>Table_S3_estuary_detail</t>
        </is>
      </c>
      <c r="B11" s="2" t="inlineStr">
        <is>
          <t>Absolute elevation (m) of tidal datum limits and habitat boundaries for each estuary (matches Supplementary Table S3).</t>
        </is>
      </c>
    </row>
    <row r="12">
      <c r="A12" t="inlineStr">
        <is>
          <t>excluded_estuaries</t>
        </is>
      </c>
      <c r="B12" s="2" t="inlineStr">
        <is>
          <t>The three estuaries excluded from the final 47-estuary dataset, and why (see manuscript Methods &gt; Study areas).</t>
        </is>
      </c>
    </row>
    <row r="14">
      <c r="A14" s="3" t="inlineStr">
        <is>
          <t>STPI formula</t>
        </is>
      </c>
    </row>
    <row r="15" ht="60" customHeight="1">
      <c r="A15" s="2" t="inlineStr">
        <is>
          <t>STPI = (En - MTL) / (HAT - MTL), where MTL is approximated as mean sea level (0 m on NZVD2016). Seagrass lower boundary is fixed at LAT and saltmarsh upper boundary is fixed at HAT in every estuary (these are imposed analytical limits, not regression-estimated transitions — see response to Reviewer 1, Comment 7). The seagrass-mangrove, mangrove-saltmarsh, and seagrass-saltmarsh (no-mangrove estuaries) boundaries are genuine regression-estimated transitions.</t>
        </is>
      </c>
    </row>
    <row r="17">
      <c r="A17" s="3" t="inlineStr">
        <is>
          <t>Data provenance</t>
        </is>
      </c>
    </row>
    <row r="18" ht="45" customHeight="1">
      <c r="A18" s="2" t="inlineStr">
        <is>
          <t>Full processing pipeline (DEM clipping, pixel sampling, regression, tidal summary) is archived at: [REPOSITORY URL / ZENODO DOI — add once created]. National 1 m DEM: LINZ New Zealand LiDAR 1m DEM (CC BY 4.0). Habitat polygons: Bulmer et al. (2024).</t>
        </is>
      </c>
    </row>
  </sheetData>
  <mergeCells count="2">
    <mergeCell ref="A15:F15"/>
    <mergeCell ref="A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5" t="inlineStr">
        <is>
          <t>Estuary</t>
        </is>
      </c>
      <c r="B1" s="5" t="inlineStr">
        <is>
          <t>LAT mean (m)</t>
        </is>
      </c>
      <c r="C1" s="5" t="inlineStr">
        <is>
          <t>LAT min (m)</t>
        </is>
      </c>
      <c r="D1" s="5" t="inlineStr">
        <is>
          <t>LAT max (m)</t>
        </is>
      </c>
      <c r="E1" s="5" t="inlineStr">
        <is>
          <t>HAT mean (m)</t>
        </is>
      </c>
      <c r="F1" s="5" t="inlineStr">
        <is>
          <t>HAT min (m)</t>
        </is>
      </c>
      <c r="G1" s="5" t="inlineStr">
        <is>
          <t>HAT max (m)</t>
        </is>
      </c>
      <c r="H1" s="5" t="inlineStr">
        <is>
          <t>MHWS10 mean (m)</t>
        </is>
      </c>
      <c r="I1" s="5" t="inlineStr">
        <is>
          <t>MHWS10 min (m)</t>
        </is>
      </c>
      <c r="J1" s="5" t="inlineStr">
        <is>
          <t>MHWS10 max (m)</t>
        </is>
      </c>
      <c r="K1" s="5" t="inlineStr">
        <is>
          <t>N nodes</t>
        </is>
      </c>
    </row>
    <row r="2">
      <c r="A2" t="inlineStr">
        <is>
          <t>Akaroa Harbour</t>
        </is>
      </c>
      <c r="B2" t="n">
        <v>-1.33333417</v>
      </c>
      <c r="C2" t="n">
        <v>-1.350350142</v>
      </c>
      <c r="D2" t="n">
        <v>-1.309124351</v>
      </c>
      <c r="E2" t="n">
        <v>1.311137217</v>
      </c>
      <c r="F2" t="n">
        <v>1.289416552</v>
      </c>
      <c r="G2" t="n">
        <v>1.325692058</v>
      </c>
      <c r="H2" t="n">
        <v>1.059241145</v>
      </c>
      <c r="I2" t="n">
        <v>1.040394425</v>
      </c>
      <c r="J2" t="n">
        <v>1.071357608</v>
      </c>
      <c r="K2" t="n">
        <v>2253</v>
      </c>
    </row>
    <row r="3">
      <c r="A3" t="inlineStr">
        <is>
          <t>Aotea Harbour System (AHS)</t>
        </is>
      </c>
      <c r="B3" t="n">
        <v>-1.447389877</v>
      </c>
      <c r="C3" t="n">
        <v>-1.84546423</v>
      </c>
      <c r="D3" t="n">
        <v>-1.407029629</v>
      </c>
      <c r="E3" t="n">
        <v>1.597607153</v>
      </c>
      <c r="F3" t="n">
        <v>1.529689908</v>
      </c>
      <c r="G3" t="n">
        <v>1.884075046</v>
      </c>
      <c r="H3" t="n">
        <v>1.344448399</v>
      </c>
      <c r="I3" t="n">
        <v>1.293965578</v>
      </c>
      <c r="J3" t="n">
        <v>1.517274737</v>
      </c>
      <c r="K3" t="n">
        <v>1453</v>
      </c>
    </row>
    <row r="4">
      <c r="A4" t="inlineStr">
        <is>
          <t>Avon-Heathcote River</t>
        </is>
      </c>
      <c r="B4" t="n">
        <v>-0.176876962</v>
      </c>
      <c r="C4" t="n">
        <v>-0.383177906</v>
      </c>
      <c r="D4" t="n">
        <v>0.299692094</v>
      </c>
      <c r="E4" t="n">
        <v>0.799798767</v>
      </c>
      <c r="F4" t="n">
        <v>0.710424185</v>
      </c>
      <c r="G4" t="n">
        <v>0.973496974</v>
      </c>
      <c r="H4" t="n">
        <v>0.72508874</v>
      </c>
      <c r="I4" t="n">
        <v>0.642892778</v>
      </c>
      <c r="J4" t="n">
        <v>0.857210755</v>
      </c>
      <c r="K4" t="n">
        <v>284</v>
      </c>
    </row>
    <row r="5">
      <c r="A5" t="inlineStr">
        <is>
          <t>Bluff Harbour</t>
        </is>
      </c>
      <c r="B5" t="n">
        <v>-1.475255354</v>
      </c>
      <c r="C5" t="n">
        <v>-1.724353433</v>
      </c>
      <c r="D5" t="n">
        <v>0.587921441</v>
      </c>
      <c r="E5" t="n">
        <v>1.437868377</v>
      </c>
      <c r="F5" t="n">
        <v>0.601275802</v>
      </c>
      <c r="G5" t="n">
        <v>1.546420574</v>
      </c>
      <c r="H5" t="n">
        <v>1.179915264</v>
      </c>
      <c r="I5" t="n">
        <v>0.598548532</v>
      </c>
      <c r="J5" t="n">
        <v>1.256149173</v>
      </c>
      <c r="K5" t="n">
        <v>219</v>
      </c>
    </row>
    <row r="6">
      <c r="A6" t="inlineStr">
        <is>
          <t>Coromandel Harbour</t>
        </is>
      </c>
      <c r="B6" t="n">
        <v>-1.70825043</v>
      </c>
      <c r="C6" t="n">
        <v>-1.726214767</v>
      </c>
      <c r="D6" t="n">
        <v>-1.676649094</v>
      </c>
      <c r="E6" t="n">
        <v>1.773667252</v>
      </c>
      <c r="F6" t="n">
        <v>1.717875481</v>
      </c>
      <c r="G6" t="n">
        <v>1.79682219</v>
      </c>
      <c r="H6" t="n">
        <v>1.457816156</v>
      </c>
      <c r="I6" t="n">
        <v>1.411297202</v>
      </c>
      <c r="J6" t="n">
        <v>1.4788903</v>
      </c>
      <c r="K6" t="n">
        <v>1805</v>
      </c>
    </row>
    <row r="7">
      <c r="A7" t="inlineStr">
        <is>
          <t>Croisilles Harbour</t>
        </is>
      </c>
      <c r="B7" t="n">
        <v>-2.137554146</v>
      </c>
      <c r="C7" t="n">
        <v>-4.1215415</v>
      </c>
      <c r="D7" t="n">
        <v>-0.710455418</v>
      </c>
      <c r="E7" t="n">
        <v>2.163878123</v>
      </c>
      <c r="F7" t="n">
        <v>-4.121528149</v>
      </c>
      <c r="G7" t="n">
        <v>2.181120634</v>
      </c>
      <c r="H7" t="n">
        <v>1.709405351</v>
      </c>
      <c r="I7" t="n">
        <v>-4.121530533</v>
      </c>
      <c r="J7" t="n">
        <v>1.724046707</v>
      </c>
      <c r="K7" t="n">
        <v>2579</v>
      </c>
    </row>
    <row r="8">
      <c r="A8" t="inlineStr">
        <is>
          <t>Firth of Thames</t>
        </is>
      </c>
      <c r="B8" t="n">
        <v>-1.878444341</v>
      </c>
      <c r="C8" t="n">
        <v>-1.970164061</v>
      </c>
      <c r="D8" t="n">
        <v>-1.722735047</v>
      </c>
      <c r="E8" t="n">
        <v>1.966099239</v>
      </c>
      <c r="F8" t="n">
        <v>1.803986669</v>
      </c>
      <c r="G8" t="n">
        <v>2.046741962</v>
      </c>
      <c r="H8" t="n">
        <v>1.624370577</v>
      </c>
      <c r="I8" t="n">
        <v>1.485002756</v>
      </c>
      <c r="J8" t="n">
        <v>1.694711089</v>
      </c>
      <c r="K8" t="n">
        <v>9283</v>
      </c>
    </row>
    <row r="9">
      <c r="A9" t="inlineStr">
        <is>
          <t>Hokianga Harbour System</t>
        </is>
      </c>
      <c r="B9" t="n">
        <v>-1.842972201</v>
      </c>
      <c r="C9" t="n">
        <v>-1.984924316</v>
      </c>
      <c r="D9" t="n">
        <v>-1.624891758</v>
      </c>
      <c r="E9" t="n">
        <v>1.821482481</v>
      </c>
      <c r="F9" t="n">
        <v>1.666797519</v>
      </c>
      <c r="G9" t="n">
        <v>1.991387486</v>
      </c>
      <c r="H9" t="n">
        <v>1.484877235</v>
      </c>
      <c r="I9" t="n">
        <v>1.351030469</v>
      </c>
      <c r="J9" t="n">
        <v>1.621883631</v>
      </c>
      <c r="K9" t="n">
        <v>3459</v>
      </c>
    </row>
    <row r="10">
      <c r="A10" t="inlineStr">
        <is>
          <t>Houhora Harbour</t>
        </is>
      </c>
      <c r="B10" t="n">
        <v>-1.32507657</v>
      </c>
      <c r="C10" t="n">
        <v>-1.340179682</v>
      </c>
      <c r="D10" t="n">
        <v>-1.305301785</v>
      </c>
      <c r="E10" t="n">
        <v>1.298793555</v>
      </c>
      <c r="F10" t="n">
        <v>1.284413576</v>
      </c>
      <c r="G10" t="n">
        <v>1.310888886</v>
      </c>
      <c r="H10" t="n">
        <v>1.064884632</v>
      </c>
      <c r="I10" t="n">
        <v>1.03956604</v>
      </c>
      <c r="J10" t="n">
        <v>1.078831911</v>
      </c>
      <c r="K10" t="n">
        <v>1334</v>
      </c>
    </row>
    <row r="11">
      <c r="A11" t="inlineStr">
        <is>
          <t>Kaipara Harbour System</t>
        </is>
      </c>
      <c r="B11" t="n">
        <v>-1.823794761</v>
      </c>
      <c r="C11" t="n">
        <v>-2.154713869</v>
      </c>
      <c r="D11" t="n">
        <v>0.312439442</v>
      </c>
      <c r="E11" t="n">
        <v>1.818351879</v>
      </c>
      <c r="F11" t="n">
        <v>1.401493549</v>
      </c>
      <c r="G11" t="n">
        <v>2.084159613</v>
      </c>
      <c r="H11" t="n">
        <v>1.51487861</v>
      </c>
      <c r="I11" t="n">
        <v>1.267451167</v>
      </c>
      <c r="J11" t="n">
        <v>1.722314596</v>
      </c>
      <c r="K11" t="n">
        <v>16722</v>
      </c>
    </row>
    <row r="12">
      <c r="A12" t="inlineStr">
        <is>
          <t>Kawhia Harbour System (KHS)</t>
        </is>
      </c>
      <c r="B12" t="n">
        <v>-1.920537908</v>
      </c>
      <c r="C12" t="n">
        <v>-1.995542765</v>
      </c>
      <c r="D12" t="n">
        <v>-1.725288391</v>
      </c>
      <c r="E12" t="n">
        <v>1.910403589</v>
      </c>
      <c r="F12" t="n">
        <v>1.823061943</v>
      </c>
      <c r="G12" t="n">
        <v>1.949648023</v>
      </c>
      <c r="H12" t="n">
        <v>1.548666265</v>
      </c>
      <c r="I12" t="n">
        <v>1.493250728</v>
      </c>
      <c r="J12" t="n">
        <v>1.576444149</v>
      </c>
      <c r="K12" t="n">
        <v>3048</v>
      </c>
    </row>
    <row r="13">
      <c r="A13" t="inlineStr">
        <is>
          <t>Lyttelton Harbour</t>
        </is>
      </c>
      <c r="B13" t="n">
        <v>-1.353984693</v>
      </c>
      <c r="C13" t="n">
        <v>-1.380599141</v>
      </c>
      <c r="D13" t="n">
        <v>-1.088917255</v>
      </c>
      <c r="E13" t="n">
        <v>1.378741327</v>
      </c>
      <c r="F13" t="n">
        <v>1.257261992</v>
      </c>
      <c r="G13" t="n">
        <v>1.401978016</v>
      </c>
      <c r="H13" t="n">
        <v>1.11213982</v>
      </c>
      <c r="I13" t="n">
        <v>1.053813577</v>
      </c>
      <c r="J13" t="n">
        <v>1.133023739</v>
      </c>
      <c r="K13" t="n">
        <v>1211</v>
      </c>
    </row>
    <row r="14">
      <c r="A14" t="inlineStr">
        <is>
          <t>Mahurangi Harbour System</t>
        </is>
      </c>
      <c r="B14" t="n">
        <v>-1.58842866</v>
      </c>
      <c r="C14" t="n">
        <v>-1.611634016</v>
      </c>
      <c r="D14" t="n">
        <v>-1.566850066</v>
      </c>
      <c r="E14" t="n">
        <v>1.633225314</v>
      </c>
      <c r="F14" t="n">
        <v>1.607420206</v>
      </c>
      <c r="G14" t="n">
        <v>1.652537346</v>
      </c>
      <c r="H14" t="n">
        <v>1.338245959</v>
      </c>
      <c r="I14" t="n">
        <v>1.315702438</v>
      </c>
      <c r="J14" t="n">
        <v>1.355007052</v>
      </c>
      <c r="K14" t="n">
        <v>954</v>
      </c>
    </row>
    <row r="15">
      <c r="A15" t="inlineStr">
        <is>
          <t>Manaia Harbour</t>
        </is>
      </c>
      <c r="B15" t="n">
        <v>-1.722039136</v>
      </c>
      <c r="C15" t="n">
        <v>-1.723569512</v>
      </c>
      <c r="D15" t="n">
        <v>-1.718976974</v>
      </c>
      <c r="E15" t="n">
        <v>1.794137356</v>
      </c>
      <c r="F15" t="n">
        <v>1.791841149</v>
      </c>
      <c r="G15" t="n">
        <v>1.796577573</v>
      </c>
      <c r="H15" t="n">
        <v>1.476139097</v>
      </c>
      <c r="I15" t="n">
        <v>1.474151969</v>
      </c>
      <c r="J15" t="n">
        <v>1.477882504</v>
      </c>
      <c r="K15" t="n">
        <v>134</v>
      </c>
    </row>
    <row r="16">
      <c r="A16" t="inlineStr">
        <is>
          <t>Mangonui Harbour</t>
        </is>
      </c>
      <c r="B16" t="n">
        <v>-1.315044152</v>
      </c>
      <c r="C16" t="n">
        <v>-1.320749879</v>
      </c>
      <c r="D16" t="n">
        <v>-1.292828441</v>
      </c>
      <c r="E16" t="n">
        <v>1.301089908</v>
      </c>
      <c r="F16" t="n">
        <v>1.292090178</v>
      </c>
      <c r="G16" t="n">
        <v>1.304347754</v>
      </c>
      <c r="H16" t="n">
        <v>1.049083189</v>
      </c>
      <c r="I16" t="n">
        <v>1.042939663</v>
      </c>
      <c r="J16" t="n">
        <v>1.052204967</v>
      </c>
      <c r="K16" t="n">
        <v>2179</v>
      </c>
    </row>
    <row r="17">
      <c r="A17" t="inlineStr">
        <is>
          <t>Manukau Harbour System (MHS)</t>
        </is>
      </c>
      <c r="B17" t="n">
        <v>-2.142335221</v>
      </c>
      <c r="C17" t="n">
        <v>-2.307253361</v>
      </c>
      <c r="D17" t="n">
        <v>-1.180605054</v>
      </c>
      <c r="E17" t="n">
        <v>2.101092563</v>
      </c>
      <c r="F17" t="n">
        <v>1.765868187</v>
      </c>
      <c r="G17" t="n">
        <v>2.234998941</v>
      </c>
      <c r="H17" t="n">
        <v>1.717373587</v>
      </c>
      <c r="I17" t="n">
        <v>1.427601218</v>
      </c>
      <c r="J17" t="n">
        <v>1.841518879</v>
      </c>
      <c r="K17" t="n">
        <v>11611</v>
      </c>
    </row>
    <row r="18">
      <c r="A18" t="inlineStr">
        <is>
          <t>Moutere Inlet</t>
        </is>
      </c>
      <c r="B18" t="n">
        <v>-2.179065361</v>
      </c>
      <c r="C18" t="n">
        <v>-2.263344049</v>
      </c>
      <c r="D18" t="n">
        <v>-1.634558916</v>
      </c>
      <c r="E18" t="n">
        <v>2.251308173</v>
      </c>
      <c r="F18" t="n">
        <v>1.996063471</v>
      </c>
      <c r="G18" t="n">
        <v>2.291079998</v>
      </c>
      <c r="H18" t="n">
        <v>1.792764221</v>
      </c>
      <c r="I18" t="n">
        <v>1.658012152</v>
      </c>
      <c r="J18" t="n">
        <v>1.814000964</v>
      </c>
      <c r="K18" t="n">
        <v>1018</v>
      </c>
    </row>
    <row r="19">
      <c r="A19" t="inlineStr">
        <is>
          <t>Nelson Haven</t>
        </is>
      </c>
      <c r="B19" t="n">
        <v>-2.157180747</v>
      </c>
      <c r="C19" t="n">
        <v>-2.268266678</v>
      </c>
      <c r="D19" t="n">
        <v>0</v>
      </c>
      <c r="E19" t="n">
        <v>2.204830989</v>
      </c>
      <c r="F19" t="n">
        <v>0</v>
      </c>
      <c r="G19" t="n">
        <v>2.314581156</v>
      </c>
      <c r="H19" t="n">
        <v>1.761233077</v>
      </c>
      <c r="I19" t="n">
        <v>0</v>
      </c>
      <c r="J19" t="n">
        <v>1.851475477</v>
      </c>
      <c r="K19" t="n">
        <v>1240</v>
      </c>
    </row>
    <row r="20">
      <c r="A20" t="inlineStr">
        <is>
          <t>New River (Oreti) Estuary</t>
        </is>
      </c>
      <c r="B20" t="n">
        <v>-1.060256743</v>
      </c>
      <c r="C20" t="n">
        <v>-1.759865403</v>
      </c>
      <c r="D20" t="n">
        <v>-0.045867514</v>
      </c>
      <c r="E20" t="n">
        <v>1.251812518</v>
      </c>
      <c r="F20" t="n">
        <v>-0.351980746</v>
      </c>
      <c r="G20" t="n">
        <v>1.566023231</v>
      </c>
      <c r="H20" t="n">
        <v>1.063554904</v>
      </c>
      <c r="I20" t="n">
        <v>-0.352088958</v>
      </c>
      <c r="J20" t="n">
        <v>1.258592963</v>
      </c>
      <c r="K20" t="n">
        <v>2169</v>
      </c>
    </row>
    <row r="21">
      <c r="A21" t="inlineStr">
        <is>
          <t>Ohiwa Harbour</t>
        </is>
      </c>
      <c r="B21" t="n">
        <v>-0.990432529</v>
      </c>
      <c r="C21" t="n">
        <v>-1.154637694</v>
      </c>
      <c r="D21" t="n">
        <v>-0.588270426</v>
      </c>
      <c r="E21" t="n">
        <v>1.051927407</v>
      </c>
      <c r="F21" t="n">
        <v>0.968180537</v>
      </c>
      <c r="G21" t="n">
        <v>1.109698892</v>
      </c>
      <c r="H21" t="n">
        <v>0.868617059</v>
      </c>
      <c r="I21" t="n">
        <v>0.796988904</v>
      </c>
      <c r="J21" t="n">
        <v>0.897243798</v>
      </c>
      <c r="K21" t="n">
        <v>1215</v>
      </c>
    </row>
    <row r="22">
      <c r="A22" t="inlineStr">
        <is>
          <t>Opua Inlet System</t>
        </is>
      </c>
      <c r="B22" t="n">
        <v>-1.321688612</v>
      </c>
      <c r="C22" t="n">
        <v>-1.33621192</v>
      </c>
      <c r="D22" t="n">
        <v>-1.304326653</v>
      </c>
      <c r="E22" t="n">
        <v>1.327242956</v>
      </c>
      <c r="F22" t="n">
        <v>1.311879992</v>
      </c>
      <c r="G22" t="n">
        <v>1.345680952</v>
      </c>
      <c r="H22" t="n">
        <v>1.073179385</v>
      </c>
      <c r="I22" t="n">
        <v>1.062329888</v>
      </c>
      <c r="J22" t="n">
        <v>1.085046411</v>
      </c>
      <c r="K22" t="n">
        <v>377</v>
      </c>
    </row>
    <row r="23">
      <c r="A23" t="inlineStr">
        <is>
          <t>Otago Harbour</t>
        </is>
      </c>
      <c r="B23" t="n">
        <v>-1.282146862</v>
      </c>
      <c r="C23" t="n">
        <v>-1.351764202</v>
      </c>
      <c r="D23" t="n">
        <v>-1.147518516</v>
      </c>
      <c r="E23" t="n">
        <v>1.23151519</v>
      </c>
      <c r="F23" t="n">
        <v>1.136360407</v>
      </c>
      <c r="G23" t="n">
        <v>1.280675411</v>
      </c>
      <c r="H23" t="n">
        <v>1.005675289</v>
      </c>
      <c r="I23" t="n">
        <v>0.920648456</v>
      </c>
      <c r="J23" t="n">
        <v>1.052190661</v>
      </c>
      <c r="K23" t="n">
        <v>14004</v>
      </c>
    </row>
    <row r="24">
      <c r="A24" t="inlineStr">
        <is>
          <t>Parengarenga Harbour System</t>
        </is>
      </c>
      <c r="B24" t="n">
        <v>-1.182789138</v>
      </c>
      <c r="C24" t="n">
        <v>-1.274307609</v>
      </c>
      <c r="D24" t="n">
        <v>-0.466804206</v>
      </c>
      <c r="E24" t="n">
        <v>1.240361023</v>
      </c>
      <c r="F24" t="n">
        <v>1.098609447</v>
      </c>
      <c r="G24" t="n">
        <v>1.283523917</v>
      </c>
      <c r="H24" t="n">
        <v>1.018614696</v>
      </c>
      <c r="I24" t="n">
        <v>0.9475016000000001</v>
      </c>
      <c r="J24" t="n">
        <v>1.042084455</v>
      </c>
      <c r="K24" t="n">
        <v>6114</v>
      </c>
    </row>
    <row r="25">
      <c r="A25" t="inlineStr">
        <is>
          <t>Pelorous/Kenepuru Sound</t>
        </is>
      </c>
      <c r="B25" t="n">
        <v>-1.463269077</v>
      </c>
      <c r="C25" t="n">
        <v>-2.443286181</v>
      </c>
      <c r="D25" t="n">
        <v>0</v>
      </c>
      <c r="E25" t="n">
        <v>1.510455235</v>
      </c>
      <c r="F25" t="n">
        <v>0</v>
      </c>
      <c r="G25" t="n">
        <v>2.180950165</v>
      </c>
      <c r="H25" t="n">
        <v>1.191715607</v>
      </c>
      <c r="I25" t="n">
        <v>0</v>
      </c>
      <c r="J25" t="n">
        <v>1.723847866</v>
      </c>
      <c r="K25" t="n">
        <v>25432</v>
      </c>
    </row>
    <row r="26">
      <c r="A26" t="inlineStr">
        <is>
          <t>Porirua Harbour</t>
        </is>
      </c>
      <c r="B26" t="n">
        <v>-0.736740468</v>
      </c>
      <c r="C26" t="n">
        <v>-0.756712615</v>
      </c>
      <c r="D26" t="n">
        <v>-0.646063209</v>
      </c>
      <c r="E26" t="n">
        <v>0.796341637</v>
      </c>
      <c r="F26" t="n">
        <v>0.746554732</v>
      </c>
      <c r="G26" t="n">
        <v>0.812617064</v>
      </c>
      <c r="H26" t="n">
        <v>0.622922152</v>
      </c>
      <c r="I26" t="n">
        <v>0.596805036</v>
      </c>
      <c r="J26" t="n">
        <v>0.635574818</v>
      </c>
      <c r="K26" t="n">
        <v>1681</v>
      </c>
    </row>
    <row r="27">
      <c r="A27" t="inlineStr">
        <is>
          <t>Port Fitzroy/Port Albercrombie</t>
        </is>
      </c>
      <c r="B27" t="n">
        <v>-1.364633924</v>
      </c>
      <c r="C27" t="n">
        <v>-1.379985571</v>
      </c>
      <c r="D27" t="n">
        <v>-1.363290429</v>
      </c>
      <c r="E27" t="n">
        <v>1.354657412</v>
      </c>
      <c r="F27" t="n">
        <v>1.35285306</v>
      </c>
      <c r="G27" t="n">
        <v>1.372642636</v>
      </c>
      <c r="H27" t="n">
        <v>1.100044533</v>
      </c>
      <c r="I27" t="n">
        <v>1.098404527</v>
      </c>
      <c r="J27" t="n">
        <v>1.115695477</v>
      </c>
      <c r="K27" t="n">
        <v>19</v>
      </c>
    </row>
    <row r="28">
      <c r="A28" t="inlineStr">
        <is>
          <t>Port Underwood</t>
        </is>
      </c>
      <c r="B28" t="n">
        <v>-0.849810736</v>
      </c>
      <c r="C28" t="n">
        <v>-0.854012012</v>
      </c>
      <c r="D28" t="n">
        <v>-0.834994614</v>
      </c>
      <c r="E28" t="n">
        <v>0.838549828</v>
      </c>
      <c r="F28" t="n">
        <v>0.815257549</v>
      </c>
      <c r="G28" t="n">
        <v>0.842128038</v>
      </c>
      <c r="H28" t="n">
        <v>0.660007106</v>
      </c>
      <c r="I28" t="n">
        <v>0.640978813</v>
      </c>
      <c r="J28" t="n">
        <v>0.662852287</v>
      </c>
      <c r="K28" t="n">
        <v>1321</v>
      </c>
    </row>
    <row r="29">
      <c r="A29" t="inlineStr">
        <is>
          <t>Queen Charlotte Sound (Totaranui)</t>
        </is>
      </c>
      <c r="B29" t="n">
        <v>-0.928298498</v>
      </c>
      <c r="C29" t="n">
        <v>-1.448220849</v>
      </c>
      <c r="D29" t="n">
        <v>0</v>
      </c>
      <c r="E29" t="n">
        <v>0.884061308</v>
      </c>
      <c r="F29" t="n">
        <v>0</v>
      </c>
      <c r="G29" t="n">
        <v>1.462314844</v>
      </c>
      <c r="H29" t="n">
        <v>0.707937866</v>
      </c>
      <c r="I29" t="n">
        <v>0</v>
      </c>
      <c r="J29" t="n">
        <v>1.161967158</v>
      </c>
      <c r="K29" t="n">
        <v>17951</v>
      </c>
    </row>
    <row r="30">
      <c r="A30" t="inlineStr">
        <is>
          <t>Raglan Harbour System (RHS)</t>
        </is>
      </c>
      <c r="B30" t="n">
        <v>-1.910360907</v>
      </c>
      <c r="C30" t="n">
        <v>-1.964124918</v>
      </c>
      <c r="D30" t="n">
        <v>-1.418232083</v>
      </c>
      <c r="E30" t="n">
        <v>1.923626145</v>
      </c>
      <c r="F30" t="n">
        <v>1.74911952</v>
      </c>
      <c r="G30" t="n">
        <v>1.968886256</v>
      </c>
      <c r="H30" t="n">
        <v>1.556604531</v>
      </c>
      <c r="I30" t="n">
        <v>1.44558692</v>
      </c>
      <c r="J30" t="n">
        <v>1.592259288</v>
      </c>
      <c r="K30" t="n">
        <v>5263</v>
      </c>
    </row>
    <row r="31">
      <c r="A31" t="inlineStr">
        <is>
          <t>Rangaunu Harbour</t>
        </is>
      </c>
      <c r="B31" t="n">
        <v>-1.359595963</v>
      </c>
      <c r="C31" t="n">
        <v>-1.399868965</v>
      </c>
      <c r="D31" t="n">
        <v>-1.022024512</v>
      </c>
      <c r="E31" t="n">
        <v>1.368790907</v>
      </c>
      <c r="F31" t="n">
        <v>1.269113183</v>
      </c>
      <c r="G31" t="n">
        <v>1.418091059</v>
      </c>
      <c r="H31" t="n">
        <v>1.117763664</v>
      </c>
      <c r="I31" t="n">
        <v>1.036019444</v>
      </c>
      <c r="J31" t="n">
        <v>1.154329777</v>
      </c>
      <c r="K31" t="n">
        <v>14644</v>
      </c>
    </row>
    <row r="32">
      <c r="A32" t="inlineStr">
        <is>
          <t>Ruataniwha Inlet</t>
        </is>
      </c>
      <c r="B32" t="n">
        <v>-2.285702117</v>
      </c>
      <c r="C32" t="n">
        <v>-2.292673349</v>
      </c>
      <c r="D32" t="n">
        <v>-2.22609067</v>
      </c>
      <c r="E32" t="n">
        <v>2.318672358</v>
      </c>
      <c r="F32" t="n">
        <v>2.289382935</v>
      </c>
      <c r="G32" t="n">
        <v>2.322505474</v>
      </c>
      <c r="H32" t="n">
        <v>1.85142506</v>
      </c>
      <c r="I32" t="n">
        <v>1.835899472</v>
      </c>
      <c r="J32" t="n">
        <v>1.854258418</v>
      </c>
      <c r="K32" t="n">
        <v>313</v>
      </c>
    </row>
    <row r="33">
      <c r="A33" t="inlineStr">
        <is>
          <t>Tairua Harbour</t>
        </is>
      </c>
      <c r="B33" t="n">
        <v>-0.609170251</v>
      </c>
      <c r="C33" t="n">
        <v>-1.112609267</v>
      </c>
      <c r="D33" t="n">
        <v>-0.578239262</v>
      </c>
      <c r="E33" t="n">
        <v>0.923010701</v>
      </c>
      <c r="F33" t="n">
        <v>0.908469439</v>
      </c>
      <c r="G33" t="n">
        <v>1.088215113</v>
      </c>
      <c r="H33" t="n">
        <v>0.797212222</v>
      </c>
      <c r="I33" t="n">
        <v>0.784339547</v>
      </c>
      <c r="J33" t="n">
        <v>0.884955943</v>
      </c>
      <c r="K33" t="n">
        <v>698</v>
      </c>
    </row>
    <row r="34">
      <c r="A34" t="inlineStr">
        <is>
          <t>Tamaki River</t>
        </is>
      </c>
      <c r="B34" t="n">
        <v>-1.746562175</v>
      </c>
      <c r="C34" t="n">
        <v>-1.782429934</v>
      </c>
      <c r="D34" t="n">
        <v>-1.650859475</v>
      </c>
      <c r="E34" t="n">
        <v>1.794385113</v>
      </c>
      <c r="F34" t="n">
        <v>1.765238404</v>
      </c>
      <c r="G34" t="n">
        <v>1.820600986</v>
      </c>
      <c r="H34" t="n">
        <v>1.479201726</v>
      </c>
      <c r="I34" t="n">
        <v>1.458550215</v>
      </c>
      <c r="J34" t="n">
        <v>1.502988577</v>
      </c>
      <c r="K34" t="n">
        <v>2603</v>
      </c>
    </row>
    <row r="35">
      <c r="A35" t="inlineStr">
        <is>
          <t>Tauranga Harbour System</t>
        </is>
      </c>
      <c r="B35" t="n">
        <v>-1.114664373</v>
      </c>
      <c r="C35" t="n">
        <v>-1.232420683</v>
      </c>
      <c r="D35" t="n">
        <v>-0.432360798</v>
      </c>
      <c r="E35" t="n">
        <v>1.117514072</v>
      </c>
      <c r="F35" t="n">
        <v>0.981377602</v>
      </c>
      <c r="G35" t="n">
        <v>1.1882478</v>
      </c>
      <c r="H35" t="n">
        <v>0.91809813</v>
      </c>
      <c r="I35" t="n">
        <v>0.7991834880000001</v>
      </c>
      <c r="J35" t="n">
        <v>0.975952804</v>
      </c>
      <c r="K35" t="n">
        <v>13156</v>
      </c>
    </row>
    <row r="36">
      <c r="A36" t="inlineStr">
        <is>
          <t>Te Puna /Kerikeri Inlet System</t>
        </is>
      </c>
      <c r="B36" t="n">
        <v>-1.309226004</v>
      </c>
      <c r="C36" t="n">
        <v>-1.325961113</v>
      </c>
      <c r="D36" t="n">
        <v>-1.28971076</v>
      </c>
      <c r="E36" t="n">
        <v>1.302009813</v>
      </c>
      <c r="F36" t="n">
        <v>1.287941337</v>
      </c>
      <c r="G36" t="n">
        <v>1.319329619</v>
      </c>
      <c r="H36" t="n">
        <v>1.055105958</v>
      </c>
      <c r="I36" t="n">
        <v>1.043834805</v>
      </c>
      <c r="J36" t="n">
        <v>1.068423152</v>
      </c>
      <c r="K36" t="n">
        <v>1410</v>
      </c>
    </row>
    <row r="37">
      <c r="A37" t="inlineStr">
        <is>
          <t>Waihi Estuary</t>
        </is>
      </c>
      <c r="B37" t="n">
        <v>-0.571451728</v>
      </c>
      <c r="C37" t="n">
        <v>-1.180832028</v>
      </c>
      <c r="D37" t="n">
        <v>-0.471321315</v>
      </c>
      <c r="E37" t="n">
        <v>0.814916859</v>
      </c>
      <c r="F37" t="n">
        <v>0.772373557</v>
      </c>
      <c r="G37" t="n">
        <v>1.126743317</v>
      </c>
      <c r="H37" t="n">
        <v>0.735301282</v>
      </c>
      <c r="I37" t="n">
        <v>0.704898477</v>
      </c>
      <c r="J37" t="n">
        <v>0.915306568</v>
      </c>
      <c r="K37" t="n">
        <v>121</v>
      </c>
    </row>
    <row r="38">
      <c r="A38" t="inlineStr">
        <is>
          <t>Waikawa Harbour</t>
        </is>
      </c>
      <c r="B38" t="n">
        <v>-1.272260273</v>
      </c>
      <c r="C38" t="n">
        <v>-1.524979234</v>
      </c>
      <c r="D38" t="n">
        <v>0.480312288</v>
      </c>
      <c r="E38" t="n">
        <v>1.324695561</v>
      </c>
      <c r="F38" t="n">
        <v>0.760168612</v>
      </c>
      <c r="G38" t="n">
        <v>1.4081918</v>
      </c>
      <c r="H38" t="n">
        <v>1.092432785</v>
      </c>
      <c r="I38" t="n">
        <v>0.710604787</v>
      </c>
      <c r="J38" t="n">
        <v>1.150863647</v>
      </c>
      <c r="K38" t="n">
        <v>452</v>
      </c>
    </row>
    <row r="39">
      <c r="A39" t="inlineStr">
        <is>
          <t>Waimea Inlet</t>
        </is>
      </c>
      <c r="B39" t="n">
        <v>-2.067208757</v>
      </c>
      <c r="C39" t="n">
        <v>-2.1805408</v>
      </c>
      <c r="D39" t="n">
        <v>-1.631944656</v>
      </c>
      <c r="E39" t="n">
        <v>2.1645137</v>
      </c>
      <c r="F39" t="n">
        <v>1.842158794</v>
      </c>
      <c r="G39" t="n">
        <v>2.260195017</v>
      </c>
      <c r="H39" t="n">
        <v>1.757643084</v>
      </c>
      <c r="I39" t="n">
        <v>1.546655893</v>
      </c>
      <c r="J39" t="n">
        <v>1.81496799</v>
      </c>
      <c r="K39" t="n">
        <v>1227</v>
      </c>
    </row>
    <row r="40">
      <c r="A40" t="inlineStr">
        <is>
          <t>Waitemata Harbour System</t>
        </is>
      </c>
      <c r="B40" t="n">
        <v>-1.770958921</v>
      </c>
      <c r="C40" t="n">
        <v>-1.836339235</v>
      </c>
      <c r="D40" t="n">
        <v>-1.119257808</v>
      </c>
      <c r="E40" t="n">
        <v>1.860660019</v>
      </c>
      <c r="F40" t="n">
        <v>1.644520283</v>
      </c>
      <c r="G40" t="n">
        <v>1.970829129</v>
      </c>
      <c r="H40" t="n">
        <v>1.532936909</v>
      </c>
      <c r="I40" t="n">
        <v>1.389936686</v>
      </c>
      <c r="J40" t="n">
        <v>1.616424441</v>
      </c>
      <c r="K40" t="n">
        <v>7906</v>
      </c>
    </row>
    <row r="41">
      <c r="A41" t="inlineStr">
        <is>
          <t>Wellington Harbour</t>
        </is>
      </c>
      <c r="B41" t="n">
        <v>-0.72104214</v>
      </c>
      <c r="C41" t="n">
        <v>-0.737060368</v>
      </c>
      <c r="D41" t="n">
        <v>-0.667961121</v>
      </c>
      <c r="E41" t="n">
        <v>0.762467034</v>
      </c>
      <c r="F41" t="n">
        <v>0.656470239</v>
      </c>
      <c r="G41" t="n">
        <v>0.7745853069999999</v>
      </c>
      <c r="H41" t="n">
        <v>0.633675955</v>
      </c>
      <c r="I41" t="n">
        <v>0.541217983</v>
      </c>
      <c r="J41" t="n">
        <v>0.6441668270000001</v>
      </c>
      <c r="K41" t="n">
        <v>7654</v>
      </c>
    </row>
    <row r="42">
      <c r="A42" t="inlineStr">
        <is>
          <t>Whanganui Inlet</t>
        </is>
      </c>
      <c r="B42" t="n">
        <v>-0.508329528</v>
      </c>
      <c r="C42" t="n">
        <v>-2.137803078</v>
      </c>
      <c r="D42" t="n">
        <v>0.209255219</v>
      </c>
      <c r="E42" t="n">
        <v>1.355519924</v>
      </c>
      <c r="F42" t="n">
        <v>1.067326069</v>
      </c>
      <c r="G42" t="n">
        <v>2.031837225</v>
      </c>
      <c r="H42" t="n">
        <v>1.18685288</v>
      </c>
      <c r="I42" t="n">
        <v>0.953316927</v>
      </c>
      <c r="J42" t="n">
        <v>1.641525865</v>
      </c>
      <c r="K42" t="n">
        <v>374</v>
      </c>
    </row>
    <row r="43">
      <c r="A43" t="inlineStr">
        <is>
          <t>Whangapoua Harbour</t>
        </is>
      </c>
      <c r="B43" t="n">
        <v>-1.073630211</v>
      </c>
      <c r="C43" t="n">
        <v>-1.249060988</v>
      </c>
      <c r="D43" t="n">
        <v>-0.964984834</v>
      </c>
      <c r="E43" t="n">
        <v>1.173168817</v>
      </c>
      <c r="F43" t="n">
        <v>1.126212597</v>
      </c>
      <c r="G43" t="n">
        <v>1.246706247</v>
      </c>
      <c r="H43" t="n">
        <v>0.97295916</v>
      </c>
      <c r="I43" t="n">
        <v>0.945431292</v>
      </c>
      <c r="J43" t="n">
        <v>1.011764884</v>
      </c>
      <c r="K43" t="n">
        <v>390</v>
      </c>
    </row>
    <row r="44">
      <c r="A44" t="inlineStr">
        <is>
          <t>Whangarei Harbour System</t>
        </is>
      </c>
      <c r="B44" t="n">
        <v>-1.45991035</v>
      </c>
      <c r="C44" t="n">
        <v>-1.568353534</v>
      </c>
      <c r="D44" t="n">
        <v>-0.278036088</v>
      </c>
      <c r="E44" t="n">
        <v>1.488972591</v>
      </c>
      <c r="F44" t="n">
        <v>-0.246346861</v>
      </c>
      <c r="G44" t="n">
        <v>1.597891688</v>
      </c>
      <c r="H44" t="n">
        <v>1.208428154</v>
      </c>
      <c r="I44" t="n">
        <v>-0.253992647</v>
      </c>
      <c r="J44" t="n">
        <v>1.299590111</v>
      </c>
      <c r="K44" t="n">
        <v>16920</v>
      </c>
    </row>
    <row r="45">
      <c r="A45" t="inlineStr">
        <is>
          <t>Whangaroa Harbour</t>
        </is>
      </c>
      <c r="B45" t="n">
        <v>-1.31933894</v>
      </c>
      <c r="C45" t="n">
        <v>-1.334003925</v>
      </c>
      <c r="D45" t="n">
        <v>-1.29325223</v>
      </c>
      <c r="E45" t="n">
        <v>1.304908009</v>
      </c>
      <c r="F45" t="n">
        <v>1.282150745</v>
      </c>
      <c r="G45" t="n">
        <v>1.320598364</v>
      </c>
      <c r="H45" t="n">
        <v>1.052006121</v>
      </c>
      <c r="I45" t="n">
        <v>1.032833576</v>
      </c>
      <c r="J45" t="n">
        <v>1.065165043</v>
      </c>
      <c r="K45" t="n">
        <v>1648</v>
      </c>
    </row>
    <row r="46">
      <c r="A46" t="inlineStr">
        <is>
          <t>Whangateau Harbour</t>
        </is>
      </c>
      <c r="B46" t="n">
        <v>-1.442590672</v>
      </c>
      <c r="C46" t="n">
        <v>-1.452005386</v>
      </c>
      <c r="D46" t="n">
        <v>-1.366209745</v>
      </c>
      <c r="E46" t="n">
        <v>1.463704648</v>
      </c>
      <c r="F46" t="n">
        <v>1.426933765</v>
      </c>
      <c r="G46" t="n">
        <v>1.470274091</v>
      </c>
      <c r="H46" t="n">
        <v>1.191317567</v>
      </c>
      <c r="I46" t="n">
        <v>1.171355367</v>
      </c>
      <c r="J46" t="n">
        <v>1.19742167</v>
      </c>
      <c r="K46" t="n">
        <v>3747</v>
      </c>
    </row>
    <row r="47">
      <c r="A47" t="inlineStr">
        <is>
          <t>Whitford Embayment System (WES)</t>
        </is>
      </c>
      <c r="B47" t="n">
        <v>-1.727531234</v>
      </c>
      <c r="C47" t="n">
        <v>-1.732784987</v>
      </c>
      <c r="D47" t="n">
        <v>-1.717601419</v>
      </c>
      <c r="E47" t="n">
        <v>1.786991208</v>
      </c>
      <c r="F47" t="n">
        <v>1.78113997</v>
      </c>
      <c r="G47" t="n">
        <v>1.791293502</v>
      </c>
      <c r="H47" t="n">
        <v>1.46803774</v>
      </c>
      <c r="I47" t="n">
        <v>1.463446379</v>
      </c>
      <c r="J47" t="n">
        <v>1.471379161</v>
      </c>
      <c r="K47" t="n">
        <v>266</v>
      </c>
    </row>
    <row r="48">
      <c r="A48" t="inlineStr">
        <is>
          <t>Whitianga Harbour (MBS)</t>
        </is>
      </c>
      <c r="B48" t="n">
        <v>-1.107120872</v>
      </c>
      <c r="C48" t="n">
        <v>-1.18639791</v>
      </c>
      <c r="D48" t="n">
        <v>-0.459665775</v>
      </c>
      <c r="E48" t="n">
        <v>1.136647693</v>
      </c>
      <c r="F48" t="n">
        <v>0.93573004</v>
      </c>
      <c r="G48" t="n">
        <v>1.165660024</v>
      </c>
      <c r="H48" t="n">
        <v>0.931920371</v>
      </c>
      <c r="I48" t="n">
        <v>0.813587189</v>
      </c>
      <c r="J48" t="n">
        <v>0.948380828</v>
      </c>
      <c r="K48" t="n">
        <v>3123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22" customWidth="1" min="4" max="4"/>
    <col width="22" customWidth="1" min="5" max="5"/>
    <col width="22" customWidth="1" min="6" max="6"/>
  </cols>
  <sheetData>
    <row r="1">
      <c r="A1" s="5" t="inlineStr">
        <is>
          <t>Estuary</t>
        </is>
      </c>
      <c r="B1" s="5" t="inlineStr">
        <is>
          <t>Estuary type</t>
        </is>
      </c>
      <c r="C1" s="5" t="inlineStr">
        <is>
          <t>Mangroves present?</t>
        </is>
      </c>
      <c r="D1" s="5" t="inlineStr">
        <is>
          <t>Seagrass|Mangroves boundary (m)</t>
        </is>
      </c>
      <c r="E1" s="5" t="inlineStr">
        <is>
          <t>Mangroves|Saltmarsh boundary (m)</t>
        </is>
      </c>
      <c r="F1" s="5" t="inlineStr">
        <is>
          <t>Seagrass|Saltmarsh boundary (m)</t>
        </is>
      </c>
    </row>
    <row r="2">
      <c r="A2" t="inlineStr">
        <is>
          <t>Akaroa Harbour</t>
        </is>
      </c>
      <c r="B2" t="inlineStr">
        <is>
          <t>Deep drowned valley</t>
        </is>
      </c>
      <c r="C2" t="inlineStr">
        <is>
          <t>No</t>
        </is>
      </c>
      <c r="F2" t="n">
        <v>-0.12403639</v>
      </c>
    </row>
    <row r="3">
      <c r="A3" t="inlineStr">
        <is>
          <t>Aotea Harbour System (AHS)</t>
        </is>
      </c>
      <c r="B3" t="inlineStr">
        <is>
          <t>Shallow drowned valley</t>
        </is>
      </c>
      <c r="C3" t="inlineStr">
        <is>
          <t>Yes</t>
        </is>
      </c>
      <c r="D3" t="n">
        <v>0.344555398</v>
      </c>
      <c r="E3" t="n">
        <v>0.817147506</v>
      </c>
    </row>
    <row r="4">
      <c r="A4" t="inlineStr">
        <is>
          <t>Avon-Heathcote River</t>
        </is>
      </c>
      <c r="B4" t="inlineStr">
        <is>
          <t>Tidal lagoon</t>
        </is>
      </c>
      <c r="C4" t="inlineStr">
        <is>
          <t>No</t>
        </is>
      </c>
      <c r="F4" t="n">
        <v>0.026919678</v>
      </c>
    </row>
    <row r="5">
      <c r="A5" t="inlineStr">
        <is>
          <t>Bluff Harbour</t>
        </is>
      </c>
      <c r="B5" t="inlineStr">
        <is>
          <t>Shallow drowned valley</t>
        </is>
      </c>
      <c r="C5" t="inlineStr">
        <is>
          <t>No</t>
        </is>
      </c>
      <c r="F5" t="n">
        <v>0.047711166</v>
      </c>
    </row>
    <row r="6">
      <c r="A6" t="inlineStr">
        <is>
          <t>Coromandel Harbour</t>
        </is>
      </c>
      <c r="B6" t="inlineStr">
        <is>
          <t>Shallow drowned valley</t>
        </is>
      </c>
      <c r="C6" t="inlineStr">
        <is>
          <t>Yes</t>
        </is>
      </c>
      <c r="D6" t="n">
        <v>-0.465606469</v>
      </c>
      <c r="E6" t="n">
        <v>0.038463486</v>
      </c>
    </row>
    <row r="7">
      <c r="A7" t="inlineStr">
        <is>
          <t>Croisilles Harbour</t>
        </is>
      </c>
      <c r="B7" t="inlineStr">
        <is>
          <t>Deep drowned valley</t>
        </is>
      </c>
      <c r="C7" t="inlineStr">
        <is>
          <t>No</t>
        </is>
      </c>
      <c r="F7" t="n">
        <v>-0.174314232</v>
      </c>
    </row>
    <row r="8">
      <c r="A8" t="inlineStr">
        <is>
          <t>Firth of Thames</t>
        </is>
      </c>
      <c r="B8" t="inlineStr">
        <is>
          <t>Coastal Embayment</t>
        </is>
      </c>
      <c r="C8" t="inlineStr">
        <is>
          <t>Yes</t>
        </is>
      </c>
      <c r="D8" t="n">
        <v>-0.089262615</v>
      </c>
      <c r="E8" t="n">
        <v>0.830674427</v>
      </c>
    </row>
    <row r="9">
      <c r="A9" t="inlineStr">
        <is>
          <t>Hokianga Harbour System</t>
        </is>
      </c>
      <c r="B9" t="inlineStr">
        <is>
          <t>Shallow drowned valley</t>
        </is>
      </c>
      <c r="C9" t="inlineStr">
        <is>
          <t>Yes</t>
        </is>
      </c>
      <c r="D9" t="n">
        <v>0.346646507</v>
      </c>
      <c r="E9" t="n">
        <v>0.944116533</v>
      </c>
    </row>
    <row r="10">
      <c r="A10" t="inlineStr">
        <is>
          <t>Houhora Harbour</t>
        </is>
      </c>
      <c r="B10" t="inlineStr">
        <is>
          <t>Shallow drowned valley</t>
        </is>
      </c>
      <c r="C10" t="inlineStr">
        <is>
          <t>Yes</t>
        </is>
      </c>
      <c r="D10" t="n">
        <v>0.519137749</v>
      </c>
      <c r="E10" t="n">
        <v>0.667391178</v>
      </c>
    </row>
    <row r="11">
      <c r="A11" t="inlineStr">
        <is>
          <t>Kaipara Harbour System</t>
        </is>
      </c>
      <c r="B11" t="inlineStr">
        <is>
          <t>Shallow drowned valley</t>
        </is>
      </c>
      <c r="C11" t="inlineStr">
        <is>
          <t>Yes</t>
        </is>
      </c>
      <c r="D11" t="n">
        <v>0.326124675</v>
      </c>
      <c r="E11" t="n">
        <v>1.201133625</v>
      </c>
    </row>
    <row r="12">
      <c r="A12" t="inlineStr">
        <is>
          <t>Kawhia Harbour System (KHS)</t>
        </is>
      </c>
      <c r="B12" t="inlineStr">
        <is>
          <t>Shallow drowned valley</t>
        </is>
      </c>
      <c r="C12" t="inlineStr">
        <is>
          <t>Yes</t>
        </is>
      </c>
      <c r="D12" t="n">
        <v>0.348778349</v>
      </c>
      <c r="E12" t="n">
        <v>0.720061522</v>
      </c>
    </row>
    <row r="13">
      <c r="A13" t="inlineStr">
        <is>
          <t>Lyttelton Harbour</t>
        </is>
      </c>
      <c r="B13" t="inlineStr">
        <is>
          <t>Deep drowned valley</t>
        </is>
      </c>
      <c r="C13" t="inlineStr">
        <is>
          <t>No</t>
        </is>
      </c>
      <c r="F13" t="n">
        <v>0.058653473</v>
      </c>
    </row>
    <row r="14">
      <c r="A14" t="inlineStr">
        <is>
          <t>Mahurangi Harbour System</t>
        </is>
      </c>
      <c r="B14" t="inlineStr">
        <is>
          <t>Shallow drowned valley</t>
        </is>
      </c>
      <c r="C14" t="inlineStr">
        <is>
          <t>Yes</t>
        </is>
      </c>
      <c r="D14" t="n">
        <v>0.106392669</v>
      </c>
      <c r="E14" t="n">
        <v>0.504916981</v>
      </c>
    </row>
    <row r="15">
      <c r="A15" t="inlineStr">
        <is>
          <t>Manaia Harbour</t>
        </is>
      </c>
      <c r="B15" t="inlineStr">
        <is>
          <t>Shallow drowned valley</t>
        </is>
      </c>
      <c r="C15" t="inlineStr">
        <is>
          <t>Yes</t>
        </is>
      </c>
      <c r="D15" t="n">
        <v>-0.41378805</v>
      </c>
      <c r="E15" t="n">
        <v>0.125891681</v>
      </c>
    </row>
    <row r="16">
      <c r="A16" t="inlineStr">
        <is>
          <t>Mangonui Harbour</t>
        </is>
      </c>
      <c r="B16" t="inlineStr">
        <is>
          <t>Shallow drowned valley</t>
        </is>
      </c>
      <c r="C16" t="inlineStr">
        <is>
          <t>Yes</t>
        </is>
      </c>
      <c r="D16" t="n">
        <v>0.122286004</v>
      </c>
      <c r="E16" t="n">
        <v>0.590613533</v>
      </c>
    </row>
    <row r="17">
      <c r="A17" t="inlineStr">
        <is>
          <t>Manukau Harbour System (MHS)</t>
        </is>
      </c>
      <c r="B17" t="inlineStr">
        <is>
          <t>Shallow drowned valley</t>
        </is>
      </c>
      <c r="C17" t="inlineStr">
        <is>
          <t>Yes</t>
        </is>
      </c>
      <c r="D17" t="n">
        <v>0.1209267</v>
      </c>
      <c r="E17" t="n">
        <v>0.825509198</v>
      </c>
    </row>
    <row r="18">
      <c r="A18" t="inlineStr">
        <is>
          <t>Moutere Inlet</t>
        </is>
      </c>
      <c r="B18" t="inlineStr">
        <is>
          <t>Shallow drowned valley</t>
        </is>
      </c>
      <c r="C18" t="inlineStr">
        <is>
          <t>No</t>
        </is>
      </c>
      <c r="F18" t="n">
        <v>0.749741982</v>
      </c>
    </row>
    <row r="19">
      <c r="A19" t="inlineStr">
        <is>
          <t>Nelson Haven</t>
        </is>
      </c>
      <c r="B19" t="inlineStr">
        <is>
          <t>Tidal lagoon</t>
        </is>
      </c>
      <c r="C19" t="inlineStr">
        <is>
          <t>No</t>
        </is>
      </c>
      <c r="F19" t="n">
        <v>0.6002354600000001</v>
      </c>
    </row>
    <row r="20">
      <c r="A20" t="inlineStr">
        <is>
          <t>New River (Oreti) Estuary</t>
        </is>
      </c>
      <c r="B20" t="inlineStr">
        <is>
          <t>Shallow drowned valley</t>
        </is>
      </c>
      <c r="C20" t="inlineStr">
        <is>
          <t>No</t>
        </is>
      </c>
      <c r="F20" t="n">
        <v>-0.281809247</v>
      </c>
    </row>
    <row r="21">
      <c r="A21" t="inlineStr">
        <is>
          <t>Ohiwa Harbour</t>
        </is>
      </c>
      <c r="B21" t="inlineStr">
        <is>
          <t>Deep drowned valley</t>
        </is>
      </c>
      <c r="C21" t="inlineStr">
        <is>
          <t>Yes</t>
        </is>
      </c>
      <c r="D21" t="n">
        <v>-0.046357681</v>
      </c>
      <c r="E21" t="n">
        <v>0.36246349</v>
      </c>
    </row>
    <row r="22">
      <c r="A22" t="inlineStr">
        <is>
          <t>Opua Inlet System</t>
        </is>
      </c>
      <c r="B22" t="inlineStr">
        <is>
          <t>Deep drowned valley</t>
        </is>
      </c>
      <c r="C22" t="inlineStr">
        <is>
          <t>Yes</t>
        </is>
      </c>
      <c r="D22" t="n">
        <v>0.127513055</v>
      </c>
      <c r="E22" t="n">
        <v>0.510647812</v>
      </c>
    </row>
    <row r="23">
      <c r="A23" t="inlineStr">
        <is>
          <t>Otago Harbour</t>
        </is>
      </c>
      <c r="B23" t="inlineStr">
        <is>
          <t>Deep drowned valley</t>
        </is>
      </c>
      <c r="C23" t="inlineStr">
        <is>
          <t>No</t>
        </is>
      </c>
      <c r="F23" t="n">
        <v>-0.509714282</v>
      </c>
    </row>
    <row r="24">
      <c r="A24" t="inlineStr">
        <is>
          <t>Parengarenga Harbour System</t>
        </is>
      </c>
      <c r="B24" t="inlineStr">
        <is>
          <t>Shallow drowned valley</t>
        </is>
      </c>
      <c r="C24" t="inlineStr">
        <is>
          <t>Yes</t>
        </is>
      </c>
      <c r="D24" t="n">
        <v>-0.132227155</v>
      </c>
      <c r="E24" t="n">
        <v>0.686773359</v>
      </c>
    </row>
    <row r="25">
      <c r="A25" t="inlineStr">
        <is>
          <t>Pelorous/Kenepuru Sound</t>
        </is>
      </c>
      <c r="B25" t="inlineStr">
        <is>
          <t>Deep drowned valley</t>
        </is>
      </c>
      <c r="C25" t="inlineStr">
        <is>
          <t>No</t>
        </is>
      </c>
      <c r="F25" t="n">
        <v>-0.423035119</v>
      </c>
    </row>
    <row r="26">
      <c r="A26" t="inlineStr">
        <is>
          <t>Porirua Harbour</t>
        </is>
      </c>
      <c r="B26" t="inlineStr">
        <is>
          <t>Shallow drowned valley</t>
        </is>
      </c>
      <c r="C26" t="inlineStr">
        <is>
          <t>No</t>
        </is>
      </c>
      <c r="F26" t="n">
        <v>-0.246071821</v>
      </c>
    </row>
    <row r="27">
      <c r="A27" t="inlineStr">
        <is>
          <t>Port Fitzroy/Port Albercrombie</t>
        </is>
      </c>
      <c r="B27" t="inlineStr">
        <is>
          <t>Deep drowned valley</t>
        </is>
      </c>
      <c r="C27" t="inlineStr">
        <is>
          <t>Yes</t>
        </is>
      </c>
      <c r="D27" t="n">
        <v>-0.589080792</v>
      </c>
      <c r="E27" t="n">
        <v>-0.408491568</v>
      </c>
    </row>
    <row r="28">
      <c r="A28" t="inlineStr">
        <is>
          <t>Port Underwood</t>
        </is>
      </c>
      <c r="B28" t="inlineStr">
        <is>
          <t>Deep drowned valley</t>
        </is>
      </c>
      <c r="C28" t="inlineStr">
        <is>
          <t>No</t>
        </is>
      </c>
      <c r="F28" t="n">
        <v>-0.083254938</v>
      </c>
    </row>
    <row r="29">
      <c r="A29" t="inlineStr">
        <is>
          <t>Queen Charlotte Sound (Totaranui)</t>
        </is>
      </c>
      <c r="B29" t="inlineStr">
        <is>
          <t>Deep drowned valley</t>
        </is>
      </c>
      <c r="C29" t="inlineStr">
        <is>
          <t>No</t>
        </is>
      </c>
      <c r="F29" t="n">
        <v>-0.144177079</v>
      </c>
    </row>
    <row r="30">
      <c r="A30" t="inlineStr">
        <is>
          <t>Raglan Harbour System (RHS)</t>
        </is>
      </c>
      <c r="B30" t="inlineStr">
        <is>
          <t>Shallow drowned valley</t>
        </is>
      </c>
      <c r="C30" t="inlineStr">
        <is>
          <t>Yes</t>
        </is>
      </c>
      <c r="D30" t="n">
        <v>0.270638229</v>
      </c>
      <c r="E30" t="n">
        <v>0.72980844</v>
      </c>
    </row>
    <row r="31">
      <c r="A31" t="inlineStr">
        <is>
          <t>Rangaunu Harbour</t>
        </is>
      </c>
      <c r="B31" t="inlineStr">
        <is>
          <t>Shallow drowned valley</t>
        </is>
      </c>
      <c r="C31" t="inlineStr">
        <is>
          <t>Yes</t>
        </is>
      </c>
      <c r="D31" t="n">
        <v>0.127792338</v>
      </c>
      <c r="E31" t="n">
        <v>0.794627689</v>
      </c>
    </row>
    <row r="32">
      <c r="A32" t="inlineStr">
        <is>
          <t>Ruataniwha Inlet</t>
        </is>
      </c>
      <c r="B32" t="inlineStr">
        <is>
          <t>Tidal lagoon</t>
        </is>
      </c>
      <c r="C32" t="inlineStr">
        <is>
          <t>No</t>
        </is>
      </c>
      <c r="F32" t="n">
        <v>0.442307422</v>
      </c>
    </row>
    <row r="33">
      <c r="A33" t="inlineStr">
        <is>
          <t>Tairua Harbour</t>
        </is>
      </c>
      <c r="B33" t="inlineStr">
        <is>
          <t>Tidal lagoon</t>
        </is>
      </c>
      <c r="C33" t="inlineStr">
        <is>
          <t>Yes</t>
        </is>
      </c>
      <c r="D33" t="n">
        <v>-0.271449809</v>
      </c>
      <c r="E33" t="n">
        <v>-0.026760072</v>
      </c>
    </row>
    <row r="34">
      <c r="A34" t="inlineStr">
        <is>
          <t>Tamaki River</t>
        </is>
      </c>
      <c r="B34" t="inlineStr">
        <is>
          <t>Shallow drowned valley</t>
        </is>
      </c>
      <c r="C34" t="inlineStr">
        <is>
          <t>Yes</t>
        </is>
      </c>
      <c r="D34" t="n">
        <v>-0.036132994</v>
      </c>
      <c r="E34" t="n">
        <v>0.649764875</v>
      </c>
    </row>
    <row r="35">
      <c r="A35" t="inlineStr">
        <is>
          <t>Tauranga Harbour System</t>
        </is>
      </c>
      <c r="B35" t="inlineStr">
        <is>
          <t>Shallow drowned valley</t>
        </is>
      </c>
      <c r="C35" t="inlineStr">
        <is>
          <t>Yes</t>
        </is>
      </c>
      <c r="D35" t="n">
        <v>-0.279770114</v>
      </c>
      <c r="E35" t="n">
        <v>0.25758945</v>
      </c>
    </row>
    <row r="36">
      <c r="A36" t="inlineStr">
        <is>
          <t>Te Puna /Kerikeri Inlet System</t>
        </is>
      </c>
      <c r="B36" t="inlineStr">
        <is>
          <t>Deep drowned valley</t>
        </is>
      </c>
      <c r="C36" t="inlineStr">
        <is>
          <t>Yes</t>
        </is>
      </c>
      <c r="D36" t="n">
        <v>-0.218977349</v>
      </c>
      <c r="E36" t="n">
        <v>0.232976024</v>
      </c>
    </row>
    <row r="37">
      <c r="A37" t="inlineStr">
        <is>
          <t>Waihi Estuary</t>
        </is>
      </c>
      <c r="B37" t="inlineStr">
        <is>
          <t>Tidal lagoon</t>
        </is>
      </c>
      <c r="C37" t="inlineStr">
        <is>
          <t>Yes</t>
        </is>
      </c>
      <c r="D37" t="n">
        <v>0.153573205</v>
      </c>
      <c r="E37" t="n">
        <v>0.275715458</v>
      </c>
    </row>
    <row r="38">
      <c r="A38" t="inlineStr">
        <is>
          <t>Waikawa Harbour</t>
        </is>
      </c>
      <c r="B38" t="inlineStr">
        <is>
          <t>Tidal lagoon</t>
        </is>
      </c>
      <c r="C38" t="inlineStr">
        <is>
          <t>No</t>
        </is>
      </c>
      <c r="F38" t="n">
        <v>-0.251653419</v>
      </c>
    </row>
    <row r="39">
      <c r="A39" t="inlineStr">
        <is>
          <t>Waimea Inlet</t>
        </is>
      </c>
      <c r="B39" t="inlineStr">
        <is>
          <t>Shallow drowned valley</t>
        </is>
      </c>
      <c r="C39" t="inlineStr">
        <is>
          <t>No</t>
        </is>
      </c>
      <c r="F39" t="n">
        <v>0.744025164</v>
      </c>
    </row>
    <row r="40">
      <c r="A40" t="inlineStr">
        <is>
          <t>Waitemata Harbour System</t>
        </is>
      </c>
      <c r="B40" t="inlineStr">
        <is>
          <t>Shallow drowned valley</t>
        </is>
      </c>
      <c r="C40" t="inlineStr">
        <is>
          <t>Yes</t>
        </is>
      </c>
      <c r="D40" t="n">
        <v>0.214452349</v>
      </c>
      <c r="E40" t="n">
        <v>0.689672833</v>
      </c>
    </row>
    <row r="41">
      <c r="A41" t="inlineStr">
        <is>
          <t>Wellington Harbour</t>
        </is>
      </c>
      <c r="B41" t="inlineStr">
        <is>
          <t>Deep drowned valley</t>
        </is>
      </c>
      <c r="C41" t="inlineStr">
        <is>
          <t>No</t>
        </is>
      </c>
      <c r="F41" t="n">
        <v>-0.129372564</v>
      </c>
    </row>
    <row r="42">
      <c r="A42" t="inlineStr">
        <is>
          <t>Whanganui Inlet</t>
        </is>
      </c>
      <c r="B42" t="inlineStr">
        <is>
          <t>Shallow drowned valley</t>
        </is>
      </c>
      <c r="C42" t="inlineStr">
        <is>
          <t>No</t>
        </is>
      </c>
      <c r="F42" t="n">
        <v>0.483059829</v>
      </c>
    </row>
    <row r="43">
      <c r="A43" t="inlineStr">
        <is>
          <t>Whangapoua Harbour</t>
        </is>
      </c>
      <c r="B43" t="inlineStr">
        <is>
          <t>Tidal lagoon</t>
        </is>
      </c>
      <c r="C43" t="inlineStr">
        <is>
          <t>Yes</t>
        </is>
      </c>
      <c r="D43" t="n">
        <v>0.01978939</v>
      </c>
      <c r="E43" t="n">
        <v>0.583313037</v>
      </c>
    </row>
    <row r="44">
      <c r="A44" t="inlineStr">
        <is>
          <t>Whangarei Harbour System</t>
        </is>
      </c>
      <c r="B44" t="inlineStr">
        <is>
          <t>Shallow drowned valley</t>
        </is>
      </c>
      <c r="C44" t="inlineStr">
        <is>
          <t>Yes</t>
        </is>
      </c>
      <c r="D44" t="n">
        <v>-0.267596409</v>
      </c>
      <c r="E44" t="n">
        <v>0.348220487</v>
      </c>
    </row>
    <row r="45">
      <c r="A45" t="inlineStr">
        <is>
          <t>Whangaroa Harbour</t>
        </is>
      </c>
      <c r="B45" t="inlineStr">
        <is>
          <t>Deep drowned valley</t>
        </is>
      </c>
      <c r="C45" t="inlineStr">
        <is>
          <t>Yes</t>
        </is>
      </c>
      <c r="D45" t="n">
        <v>0.138694102</v>
      </c>
      <c r="E45" t="n">
        <v>0.487137478</v>
      </c>
    </row>
    <row r="46">
      <c r="A46" t="inlineStr">
        <is>
          <t>Whangateau Harbour</t>
        </is>
      </c>
      <c r="B46" t="inlineStr">
        <is>
          <t>Tidal lagoon</t>
        </is>
      </c>
      <c r="C46" t="inlineStr">
        <is>
          <t>Yes</t>
        </is>
      </c>
      <c r="D46" t="n">
        <v>-0.124026537</v>
      </c>
      <c r="E46" t="n">
        <v>0.224864852</v>
      </c>
    </row>
    <row r="47">
      <c r="A47" t="inlineStr">
        <is>
          <t>Whitford Embayment System (WES)</t>
        </is>
      </c>
      <c r="B47" t="inlineStr">
        <is>
          <t>Shallow drowned valley</t>
        </is>
      </c>
      <c r="C47" t="inlineStr">
        <is>
          <t>Yes</t>
        </is>
      </c>
      <c r="D47" t="n">
        <v>0.325492183</v>
      </c>
      <c r="E47" t="n">
        <v>0.868312791</v>
      </c>
    </row>
    <row r="48">
      <c r="A48" t="inlineStr">
        <is>
          <t>Whitianga Harbour (MBS)</t>
        </is>
      </c>
      <c r="B48" t="inlineStr">
        <is>
          <t>Tidal lagoon</t>
        </is>
      </c>
      <c r="C48" t="inlineStr">
        <is>
          <t>Yes</t>
        </is>
      </c>
      <c r="D48" t="n">
        <v>-0.137899182</v>
      </c>
      <c r="E48" t="n">
        <v>0.281698364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2" customWidth="1" min="4" max="4"/>
    <col width="16" customWidth="1" min="5" max="5"/>
    <col width="20" customWidth="1" min="6" max="6"/>
    <col width="20" customWidth="1" min="7" max="7"/>
    <col width="20" customWidth="1" min="8" max="8"/>
    <col width="16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48" customHeight="1">
      <c r="A1" s="6" t="inlineStr">
        <is>
          <t>Estuary</t>
        </is>
      </c>
      <c r="B1" s="6" t="inlineStr">
        <is>
          <t>Mangroves present?</t>
        </is>
      </c>
      <c r="C1" s="6" t="inlineStr">
        <is>
          <t>LAT (m)</t>
        </is>
      </c>
      <c r="D1" s="6" t="inlineStr">
        <is>
          <t>HAT (m)</t>
        </is>
      </c>
      <c r="E1" s="6" t="inlineStr">
        <is>
          <t>Seagrass lower STPI
(imposed = LAT/HAT)</t>
        </is>
      </c>
      <c r="F1" s="6" t="inlineStr">
        <is>
          <t>Seagrass|Mangrove STPI
(estimated, mangrove estuaries only)</t>
        </is>
      </c>
      <c r="G1" s="6" t="inlineStr">
        <is>
          <t>Mangrove|Saltmarsh STPI
(estimated, mangrove estuaries only)</t>
        </is>
      </c>
      <c r="H1" s="6" t="inlineStr">
        <is>
          <t>Seagrass|Saltmarsh STPI
(estimated, no-mangrove estuaries only)</t>
        </is>
      </c>
      <c r="I1" s="6" t="inlineStr">
        <is>
          <t>Saltmarsh upper STPI
(imposed = HAT/HAT = 1)</t>
        </is>
      </c>
      <c r="J1" s="4" t="inlineStr">
        <is>
          <t>Seagrass lower STPI
(mangrove estuaries only)</t>
        </is>
      </c>
      <c r="K1" s="4" t="inlineStr">
        <is>
          <t>Seagrass lower STPI
(no-mangrove estuaries only)</t>
        </is>
      </c>
      <c r="L1" s="4" t="inlineStr">
        <is>
          <t>Saltmarsh upper STPI
(mangrove estuaries only)</t>
        </is>
      </c>
      <c r="M1" s="4" t="inlineStr">
        <is>
          <t>Saltmarsh upper STPI
(no-mangrove estuaries only)</t>
        </is>
      </c>
    </row>
    <row r="2">
      <c r="A2" t="inlineStr">
        <is>
          <t>Akaroa Harbour</t>
        </is>
      </c>
      <c r="B2" t="inlineStr">
        <is>
          <t>No</t>
        </is>
      </c>
      <c r="C2" t="n">
        <v>-1.33333417</v>
      </c>
      <c r="D2" t="n">
        <v>1.311137217</v>
      </c>
      <c r="E2">
        <f>(C2-0)/(D2-0)</f>
        <v/>
      </c>
      <c r="H2">
        <f>(-0.12403639-0)/(D2-0)</f>
        <v/>
      </c>
      <c r="I2">
        <f>(D2-0)/(D2-0)</f>
        <v/>
      </c>
      <c r="J2">
        <f>IF(B2="Yes",E2,"")</f>
        <v/>
      </c>
      <c r="K2">
        <f>IF(B2="No",E2,"")</f>
        <v/>
      </c>
      <c r="L2">
        <f>IF(B2="Yes",I2,"")</f>
        <v/>
      </c>
      <c r="M2">
        <f>IF(B2="No",I2,"")</f>
        <v/>
      </c>
    </row>
    <row r="3">
      <c r="A3" t="inlineStr">
        <is>
          <t>Aotea Harbour System (AHS)</t>
        </is>
      </c>
      <c r="B3" t="inlineStr">
        <is>
          <t>Yes</t>
        </is>
      </c>
      <c r="C3" t="n">
        <v>-1.447389877</v>
      </c>
      <c r="D3" t="n">
        <v>1.597607153</v>
      </c>
      <c r="E3">
        <f>(C3-0)/(D3-0)</f>
        <v/>
      </c>
      <c r="F3">
        <f>(0.344555398-0)/(D3-0)</f>
        <v/>
      </c>
      <c r="G3">
        <f>(0.817147506-0)/(D3-0)</f>
        <v/>
      </c>
      <c r="I3">
        <f>(D3-0)/(D3-0)</f>
        <v/>
      </c>
      <c r="J3">
        <f>IF(B3="Yes",E3,"")</f>
        <v/>
      </c>
      <c r="K3">
        <f>IF(B3="No",E3,"")</f>
        <v/>
      </c>
      <c r="L3">
        <f>IF(B3="Yes",I3,"")</f>
        <v/>
      </c>
      <c r="M3">
        <f>IF(B3="No",I3,"")</f>
        <v/>
      </c>
    </row>
    <row r="4">
      <c r="A4" t="inlineStr">
        <is>
          <t>Avon-Heathcote River</t>
        </is>
      </c>
      <c r="B4" t="inlineStr">
        <is>
          <t>No</t>
        </is>
      </c>
      <c r="C4" t="n">
        <v>-0.176876962</v>
      </c>
      <c r="D4" t="n">
        <v>0.799798767</v>
      </c>
      <c r="E4">
        <f>(C4-0)/(D4-0)</f>
        <v/>
      </c>
      <c r="H4">
        <f>(0.026919678-0)/(D4-0)</f>
        <v/>
      </c>
      <c r="I4">
        <f>(D4-0)/(D4-0)</f>
        <v/>
      </c>
      <c r="J4">
        <f>IF(B4="Yes",E4,"")</f>
        <v/>
      </c>
      <c r="K4">
        <f>IF(B4="No",E4,"")</f>
        <v/>
      </c>
      <c r="L4">
        <f>IF(B4="Yes",I4,"")</f>
        <v/>
      </c>
      <c r="M4">
        <f>IF(B4="No",I4,"")</f>
        <v/>
      </c>
    </row>
    <row r="5">
      <c r="A5" t="inlineStr">
        <is>
          <t>Bluff Harbour</t>
        </is>
      </c>
      <c r="B5" t="inlineStr">
        <is>
          <t>No</t>
        </is>
      </c>
      <c r="C5" t="n">
        <v>-1.475255354</v>
      </c>
      <c r="D5" t="n">
        <v>1.437868377</v>
      </c>
      <c r="E5">
        <f>(C5-0)/(D5-0)</f>
        <v/>
      </c>
      <c r="H5">
        <f>(0.047711166-0)/(D5-0)</f>
        <v/>
      </c>
      <c r="I5">
        <f>(D5-0)/(D5-0)</f>
        <v/>
      </c>
      <c r="J5">
        <f>IF(B5="Yes",E5,"")</f>
        <v/>
      </c>
      <c r="K5">
        <f>IF(B5="No",E5,"")</f>
        <v/>
      </c>
      <c r="L5">
        <f>IF(B5="Yes",I5,"")</f>
        <v/>
      </c>
      <c r="M5">
        <f>IF(B5="No",I5,"")</f>
        <v/>
      </c>
    </row>
    <row r="6">
      <c r="A6" t="inlineStr">
        <is>
          <t>Coromandel Harbour</t>
        </is>
      </c>
      <c r="B6" t="inlineStr">
        <is>
          <t>Yes</t>
        </is>
      </c>
      <c r="C6" t="n">
        <v>-1.70825043</v>
      </c>
      <c r="D6" t="n">
        <v>1.773667252</v>
      </c>
      <c r="E6">
        <f>(C6-0)/(D6-0)</f>
        <v/>
      </c>
      <c r="F6">
        <f>(-0.465606469-0)/(D6-0)</f>
        <v/>
      </c>
      <c r="G6">
        <f>(0.038463486-0)/(D6-0)</f>
        <v/>
      </c>
      <c r="I6">
        <f>(D6-0)/(D6-0)</f>
        <v/>
      </c>
      <c r="J6">
        <f>IF(B6="Yes",E6,"")</f>
        <v/>
      </c>
      <c r="K6">
        <f>IF(B6="No",E6,"")</f>
        <v/>
      </c>
      <c r="L6">
        <f>IF(B6="Yes",I6,"")</f>
        <v/>
      </c>
      <c r="M6">
        <f>IF(B6="No",I6,"")</f>
        <v/>
      </c>
    </row>
    <row r="7">
      <c r="A7" t="inlineStr">
        <is>
          <t>Croisilles Harbour</t>
        </is>
      </c>
      <c r="B7" t="inlineStr">
        <is>
          <t>No</t>
        </is>
      </c>
      <c r="C7" t="n">
        <v>-2.137554146</v>
      </c>
      <c r="D7" t="n">
        <v>2.163878123</v>
      </c>
      <c r="E7">
        <f>(C7-0)/(D7-0)</f>
        <v/>
      </c>
      <c r="H7">
        <f>(-0.174314232-0)/(D7-0)</f>
        <v/>
      </c>
      <c r="I7">
        <f>(D7-0)/(D7-0)</f>
        <v/>
      </c>
      <c r="J7">
        <f>IF(B7="Yes",E7,"")</f>
        <v/>
      </c>
      <c r="K7">
        <f>IF(B7="No",E7,"")</f>
        <v/>
      </c>
      <c r="L7">
        <f>IF(B7="Yes",I7,"")</f>
        <v/>
      </c>
      <c r="M7">
        <f>IF(B7="No",I7,"")</f>
        <v/>
      </c>
    </row>
    <row r="8">
      <c r="A8" t="inlineStr">
        <is>
          <t>Firth of Thames</t>
        </is>
      </c>
      <c r="B8" t="inlineStr">
        <is>
          <t>Yes</t>
        </is>
      </c>
      <c r="C8" t="n">
        <v>-1.878444341</v>
      </c>
      <c r="D8" t="n">
        <v>1.966099239</v>
      </c>
      <c r="E8">
        <f>(C8-0)/(D8-0)</f>
        <v/>
      </c>
      <c r="F8">
        <f>(-0.089262615-0)/(D8-0)</f>
        <v/>
      </c>
      <c r="G8">
        <f>(0.830674427-0)/(D8-0)</f>
        <v/>
      </c>
      <c r="I8">
        <f>(D8-0)/(D8-0)</f>
        <v/>
      </c>
      <c r="J8">
        <f>IF(B8="Yes",E8,"")</f>
        <v/>
      </c>
      <c r="K8">
        <f>IF(B8="No",E8,"")</f>
        <v/>
      </c>
      <c r="L8">
        <f>IF(B8="Yes",I8,"")</f>
        <v/>
      </c>
      <c r="M8">
        <f>IF(B8="No",I8,"")</f>
        <v/>
      </c>
    </row>
    <row r="9">
      <c r="A9" t="inlineStr">
        <is>
          <t>Hokianga Harbour System</t>
        </is>
      </c>
      <c r="B9" t="inlineStr">
        <is>
          <t>Yes</t>
        </is>
      </c>
      <c r="C9" t="n">
        <v>-1.842972201</v>
      </c>
      <c r="D9" t="n">
        <v>1.821482481</v>
      </c>
      <c r="E9">
        <f>(C9-0)/(D9-0)</f>
        <v/>
      </c>
      <c r="F9">
        <f>(0.346646507-0)/(D9-0)</f>
        <v/>
      </c>
      <c r="G9">
        <f>(0.944116533-0)/(D9-0)</f>
        <v/>
      </c>
      <c r="I9">
        <f>(D9-0)/(D9-0)</f>
        <v/>
      </c>
      <c r="J9">
        <f>IF(B9="Yes",E9,"")</f>
        <v/>
      </c>
      <c r="K9">
        <f>IF(B9="No",E9,"")</f>
        <v/>
      </c>
      <c r="L9">
        <f>IF(B9="Yes",I9,"")</f>
        <v/>
      </c>
      <c r="M9">
        <f>IF(B9="No",I9,"")</f>
        <v/>
      </c>
    </row>
    <row r="10">
      <c r="A10" t="inlineStr">
        <is>
          <t>Houhora Harbour</t>
        </is>
      </c>
      <c r="B10" t="inlineStr">
        <is>
          <t>Yes</t>
        </is>
      </c>
      <c r="C10" t="n">
        <v>-1.32507657</v>
      </c>
      <c r="D10" t="n">
        <v>1.298793555</v>
      </c>
      <c r="E10">
        <f>(C10-0)/(D10-0)</f>
        <v/>
      </c>
      <c r="F10">
        <f>(0.519137749-0)/(D10-0)</f>
        <v/>
      </c>
      <c r="G10">
        <f>(0.667391178-0)/(D10-0)</f>
        <v/>
      </c>
      <c r="I10">
        <f>(D10-0)/(D10-0)</f>
        <v/>
      </c>
      <c r="J10">
        <f>IF(B10="Yes",E10,"")</f>
        <v/>
      </c>
      <c r="K10">
        <f>IF(B10="No",E10,"")</f>
        <v/>
      </c>
      <c r="L10">
        <f>IF(B10="Yes",I10,"")</f>
        <v/>
      </c>
      <c r="M10">
        <f>IF(B10="No",I10,"")</f>
        <v/>
      </c>
    </row>
    <row r="11">
      <c r="A11" t="inlineStr">
        <is>
          <t>Kaipara Harbour System</t>
        </is>
      </c>
      <c r="B11" t="inlineStr">
        <is>
          <t>Yes</t>
        </is>
      </c>
      <c r="C11" t="n">
        <v>-1.823794761</v>
      </c>
      <c r="D11" t="n">
        <v>1.818351879</v>
      </c>
      <c r="E11">
        <f>(C11-0)/(D11-0)</f>
        <v/>
      </c>
      <c r="F11">
        <f>(0.326124675-0)/(D11-0)</f>
        <v/>
      </c>
      <c r="G11">
        <f>(1.201133625-0)/(D11-0)</f>
        <v/>
      </c>
      <c r="I11">
        <f>(D11-0)/(D11-0)</f>
        <v/>
      </c>
      <c r="J11">
        <f>IF(B11="Yes",E11,"")</f>
        <v/>
      </c>
      <c r="K11">
        <f>IF(B11="No",E11,"")</f>
        <v/>
      </c>
      <c r="L11">
        <f>IF(B11="Yes",I11,"")</f>
        <v/>
      </c>
      <c r="M11">
        <f>IF(B11="No",I11,"")</f>
        <v/>
      </c>
    </row>
    <row r="12">
      <c r="A12" t="inlineStr">
        <is>
          <t>Kawhia Harbour System (KHS)</t>
        </is>
      </c>
      <c r="B12" t="inlineStr">
        <is>
          <t>Yes</t>
        </is>
      </c>
      <c r="C12" t="n">
        <v>-1.920537908</v>
      </c>
      <c r="D12" t="n">
        <v>1.910403589</v>
      </c>
      <c r="E12">
        <f>(C12-0)/(D12-0)</f>
        <v/>
      </c>
      <c r="F12">
        <f>(0.348778349-0)/(D12-0)</f>
        <v/>
      </c>
      <c r="G12">
        <f>(0.720061522-0)/(D12-0)</f>
        <v/>
      </c>
      <c r="I12">
        <f>(D12-0)/(D12-0)</f>
        <v/>
      </c>
      <c r="J12">
        <f>IF(B12="Yes",E12,"")</f>
        <v/>
      </c>
      <c r="K12">
        <f>IF(B12="No",E12,"")</f>
        <v/>
      </c>
      <c r="L12">
        <f>IF(B12="Yes",I12,"")</f>
        <v/>
      </c>
      <c r="M12">
        <f>IF(B12="No",I12,"")</f>
        <v/>
      </c>
    </row>
    <row r="13">
      <c r="A13" t="inlineStr">
        <is>
          <t>Lyttelton Harbour</t>
        </is>
      </c>
      <c r="B13" t="inlineStr">
        <is>
          <t>No</t>
        </is>
      </c>
      <c r="C13" t="n">
        <v>-1.353984693</v>
      </c>
      <c r="D13" t="n">
        <v>1.378741327</v>
      </c>
      <c r="E13">
        <f>(C13-0)/(D13-0)</f>
        <v/>
      </c>
      <c r="H13">
        <f>(0.058653473-0)/(D13-0)</f>
        <v/>
      </c>
      <c r="I13">
        <f>(D13-0)/(D13-0)</f>
        <v/>
      </c>
      <c r="J13">
        <f>IF(B13="Yes",E13,"")</f>
        <v/>
      </c>
      <c r="K13">
        <f>IF(B13="No",E13,"")</f>
        <v/>
      </c>
      <c r="L13">
        <f>IF(B13="Yes",I13,"")</f>
        <v/>
      </c>
      <c r="M13">
        <f>IF(B13="No",I13,"")</f>
        <v/>
      </c>
    </row>
    <row r="14">
      <c r="A14" t="inlineStr">
        <is>
          <t>Mahurangi Harbour System</t>
        </is>
      </c>
      <c r="B14" t="inlineStr">
        <is>
          <t>Yes</t>
        </is>
      </c>
      <c r="C14" t="n">
        <v>-1.58842866</v>
      </c>
      <c r="D14" t="n">
        <v>1.633225314</v>
      </c>
      <c r="E14">
        <f>(C14-0)/(D14-0)</f>
        <v/>
      </c>
      <c r="F14">
        <f>(0.106392669-0)/(D14-0)</f>
        <v/>
      </c>
      <c r="G14">
        <f>(0.504916981-0)/(D14-0)</f>
        <v/>
      </c>
      <c r="I14">
        <f>(D14-0)/(D14-0)</f>
        <v/>
      </c>
      <c r="J14">
        <f>IF(B14="Yes",E14,"")</f>
        <v/>
      </c>
      <c r="K14">
        <f>IF(B14="No",E14,"")</f>
        <v/>
      </c>
      <c r="L14">
        <f>IF(B14="Yes",I14,"")</f>
        <v/>
      </c>
      <c r="M14">
        <f>IF(B14="No",I14,"")</f>
        <v/>
      </c>
    </row>
    <row r="15">
      <c r="A15" t="inlineStr">
        <is>
          <t>Manaia Harbour</t>
        </is>
      </c>
      <c r="B15" t="inlineStr">
        <is>
          <t>Yes</t>
        </is>
      </c>
      <c r="C15" t="n">
        <v>-1.722039136</v>
      </c>
      <c r="D15" t="n">
        <v>1.794137356</v>
      </c>
      <c r="E15">
        <f>(C15-0)/(D15-0)</f>
        <v/>
      </c>
      <c r="F15">
        <f>(-0.41378805-0)/(D15-0)</f>
        <v/>
      </c>
      <c r="G15">
        <f>(0.125891681-0)/(D15-0)</f>
        <v/>
      </c>
      <c r="I15">
        <f>(D15-0)/(D15-0)</f>
        <v/>
      </c>
      <c r="J15">
        <f>IF(B15="Yes",E15,"")</f>
        <v/>
      </c>
      <c r="K15">
        <f>IF(B15="No",E15,"")</f>
        <v/>
      </c>
      <c r="L15">
        <f>IF(B15="Yes",I15,"")</f>
        <v/>
      </c>
      <c r="M15">
        <f>IF(B15="No",I15,"")</f>
        <v/>
      </c>
    </row>
    <row r="16">
      <c r="A16" t="inlineStr">
        <is>
          <t>Mangonui Harbour</t>
        </is>
      </c>
      <c r="B16" t="inlineStr">
        <is>
          <t>Yes</t>
        </is>
      </c>
      <c r="C16" t="n">
        <v>-1.315044152</v>
      </c>
      <c r="D16" t="n">
        <v>1.301089908</v>
      </c>
      <c r="E16">
        <f>(C16-0)/(D16-0)</f>
        <v/>
      </c>
      <c r="F16">
        <f>(0.122286004-0)/(D16-0)</f>
        <v/>
      </c>
      <c r="G16">
        <f>(0.590613533-0)/(D16-0)</f>
        <v/>
      </c>
      <c r="I16">
        <f>(D16-0)/(D16-0)</f>
        <v/>
      </c>
      <c r="J16">
        <f>IF(B16="Yes",E16,"")</f>
        <v/>
      </c>
      <c r="K16">
        <f>IF(B16="No",E16,"")</f>
        <v/>
      </c>
      <c r="L16">
        <f>IF(B16="Yes",I16,"")</f>
        <v/>
      </c>
      <c r="M16">
        <f>IF(B16="No",I16,"")</f>
        <v/>
      </c>
    </row>
    <row r="17">
      <c r="A17" t="inlineStr">
        <is>
          <t>Manukau Harbour System (MHS)</t>
        </is>
      </c>
      <c r="B17" t="inlineStr">
        <is>
          <t>Yes</t>
        </is>
      </c>
      <c r="C17" t="n">
        <v>-2.142335221</v>
      </c>
      <c r="D17" t="n">
        <v>2.101092563</v>
      </c>
      <c r="E17">
        <f>(C17-0)/(D17-0)</f>
        <v/>
      </c>
      <c r="F17">
        <f>(0.1209267-0)/(D17-0)</f>
        <v/>
      </c>
      <c r="G17">
        <f>(0.825509198-0)/(D17-0)</f>
        <v/>
      </c>
      <c r="I17">
        <f>(D17-0)/(D17-0)</f>
        <v/>
      </c>
      <c r="J17">
        <f>IF(B17="Yes",E17,"")</f>
        <v/>
      </c>
      <c r="K17">
        <f>IF(B17="No",E17,"")</f>
        <v/>
      </c>
      <c r="L17">
        <f>IF(B17="Yes",I17,"")</f>
        <v/>
      </c>
      <c r="M17">
        <f>IF(B17="No",I17,"")</f>
        <v/>
      </c>
    </row>
    <row r="18">
      <c r="A18" t="inlineStr">
        <is>
          <t>Moutere Inlet</t>
        </is>
      </c>
      <c r="B18" t="inlineStr">
        <is>
          <t>No</t>
        </is>
      </c>
      <c r="C18" t="n">
        <v>-2.179065361</v>
      </c>
      <c r="D18" t="n">
        <v>2.251308173</v>
      </c>
      <c r="E18">
        <f>(C18-0)/(D18-0)</f>
        <v/>
      </c>
      <c r="H18">
        <f>(0.749741982-0)/(D18-0)</f>
        <v/>
      </c>
      <c r="I18">
        <f>(D18-0)/(D18-0)</f>
        <v/>
      </c>
      <c r="J18">
        <f>IF(B18="Yes",E18,"")</f>
        <v/>
      </c>
      <c r="K18">
        <f>IF(B18="No",E18,"")</f>
        <v/>
      </c>
      <c r="L18">
        <f>IF(B18="Yes",I18,"")</f>
        <v/>
      </c>
      <c r="M18">
        <f>IF(B18="No",I18,"")</f>
        <v/>
      </c>
    </row>
    <row r="19">
      <c r="A19" t="inlineStr">
        <is>
          <t>Nelson Haven</t>
        </is>
      </c>
      <c r="B19" t="inlineStr">
        <is>
          <t>No</t>
        </is>
      </c>
      <c r="C19" t="n">
        <v>-2.157180747</v>
      </c>
      <c r="D19" t="n">
        <v>2.204830989</v>
      </c>
      <c r="E19">
        <f>(C19-0)/(D19-0)</f>
        <v/>
      </c>
      <c r="H19">
        <f>(0.60023546-0)/(D19-0)</f>
        <v/>
      </c>
      <c r="I19">
        <f>(D19-0)/(D19-0)</f>
        <v/>
      </c>
      <c r="J19">
        <f>IF(B19="Yes",E19,"")</f>
        <v/>
      </c>
      <c r="K19">
        <f>IF(B19="No",E19,"")</f>
        <v/>
      </c>
      <c r="L19">
        <f>IF(B19="Yes",I19,"")</f>
        <v/>
      </c>
      <c r="M19">
        <f>IF(B19="No",I19,"")</f>
        <v/>
      </c>
    </row>
    <row r="20">
      <c r="A20" t="inlineStr">
        <is>
          <t>New River (Oreti) Estuary</t>
        </is>
      </c>
      <c r="B20" t="inlineStr">
        <is>
          <t>No</t>
        </is>
      </c>
      <c r="C20" t="n">
        <v>-1.060256743</v>
      </c>
      <c r="D20" t="n">
        <v>1.251812518</v>
      </c>
      <c r="E20">
        <f>(C20-0)/(D20-0)</f>
        <v/>
      </c>
      <c r="H20">
        <f>(-0.281809247-0)/(D20-0)</f>
        <v/>
      </c>
      <c r="I20">
        <f>(D20-0)/(D20-0)</f>
        <v/>
      </c>
      <c r="J20">
        <f>IF(B20="Yes",E20,"")</f>
        <v/>
      </c>
      <c r="K20">
        <f>IF(B20="No",E20,"")</f>
        <v/>
      </c>
      <c r="L20">
        <f>IF(B20="Yes",I20,"")</f>
        <v/>
      </c>
      <c r="M20">
        <f>IF(B20="No",I20,"")</f>
        <v/>
      </c>
    </row>
    <row r="21">
      <c r="A21" t="inlineStr">
        <is>
          <t>Ohiwa Harbour</t>
        </is>
      </c>
      <c r="B21" t="inlineStr">
        <is>
          <t>Yes</t>
        </is>
      </c>
      <c r="C21" t="n">
        <v>-0.990432529</v>
      </c>
      <c r="D21" t="n">
        <v>1.051927407</v>
      </c>
      <c r="E21">
        <f>(C21-0)/(D21-0)</f>
        <v/>
      </c>
      <c r="F21">
        <f>(-0.046357681-0)/(D21-0)</f>
        <v/>
      </c>
      <c r="G21">
        <f>(0.36246349-0)/(D21-0)</f>
        <v/>
      </c>
      <c r="I21">
        <f>(D21-0)/(D21-0)</f>
        <v/>
      </c>
      <c r="J21">
        <f>IF(B21="Yes",E21,"")</f>
        <v/>
      </c>
      <c r="K21">
        <f>IF(B21="No",E21,"")</f>
        <v/>
      </c>
      <c r="L21">
        <f>IF(B21="Yes",I21,"")</f>
        <v/>
      </c>
      <c r="M21">
        <f>IF(B21="No",I21,"")</f>
        <v/>
      </c>
    </row>
    <row r="22">
      <c r="A22" t="inlineStr">
        <is>
          <t>Opua Inlet System</t>
        </is>
      </c>
      <c r="B22" t="inlineStr">
        <is>
          <t>Yes</t>
        </is>
      </c>
      <c r="C22" t="n">
        <v>-1.321688612</v>
      </c>
      <c r="D22" t="n">
        <v>1.327242956</v>
      </c>
      <c r="E22">
        <f>(C22-0)/(D22-0)</f>
        <v/>
      </c>
      <c r="F22">
        <f>(0.127513055-0)/(D22-0)</f>
        <v/>
      </c>
      <c r="G22">
        <f>(0.510647812-0)/(D22-0)</f>
        <v/>
      </c>
      <c r="I22">
        <f>(D22-0)/(D22-0)</f>
        <v/>
      </c>
      <c r="J22">
        <f>IF(B22="Yes",E22,"")</f>
        <v/>
      </c>
      <c r="K22">
        <f>IF(B22="No",E22,"")</f>
        <v/>
      </c>
      <c r="L22">
        <f>IF(B22="Yes",I22,"")</f>
        <v/>
      </c>
      <c r="M22">
        <f>IF(B22="No",I22,"")</f>
        <v/>
      </c>
    </row>
    <row r="23">
      <c r="A23" t="inlineStr">
        <is>
          <t>Otago Harbour</t>
        </is>
      </c>
      <c r="B23" t="inlineStr">
        <is>
          <t>No</t>
        </is>
      </c>
      <c r="C23" t="n">
        <v>-1.282146862</v>
      </c>
      <c r="D23" t="n">
        <v>1.23151519</v>
      </c>
      <c r="E23">
        <f>(C23-0)/(D23-0)</f>
        <v/>
      </c>
      <c r="H23">
        <f>(-0.509714282-0)/(D23-0)</f>
        <v/>
      </c>
      <c r="I23">
        <f>(D23-0)/(D23-0)</f>
        <v/>
      </c>
      <c r="J23">
        <f>IF(B23="Yes",E23,"")</f>
        <v/>
      </c>
      <c r="K23">
        <f>IF(B23="No",E23,"")</f>
        <v/>
      </c>
      <c r="L23">
        <f>IF(B23="Yes",I23,"")</f>
        <v/>
      </c>
      <c r="M23">
        <f>IF(B23="No",I23,"")</f>
        <v/>
      </c>
    </row>
    <row r="24">
      <c r="A24" t="inlineStr">
        <is>
          <t>Parengarenga Harbour System</t>
        </is>
      </c>
      <c r="B24" t="inlineStr">
        <is>
          <t>Yes</t>
        </is>
      </c>
      <c r="C24" t="n">
        <v>-1.182789138</v>
      </c>
      <c r="D24" t="n">
        <v>1.240361023</v>
      </c>
      <c r="E24">
        <f>(C24-0)/(D24-0)</f>
        <v/>
      </c>
      <c r="F24">
        <f>(-0.132227155-0)/(D24-0)</f>
        <v/>
      </c>
      <c r="G24">
        <f>(0.686773359-0)/(D24-0)</f>
        <v/>
      </c>
      <c r="I24">
        <f>(D24-0)/(D24-0)</f>
        <v/>
      </c>
      <c r="J24">
        <f>IF(B24="Yes",E24,"")</f>
        <v/>
      </c>
      <c r="K24">
        <f>IF(B24="No",E24,"")</f>
        <v/>
      </c>
      <c r="L24">
        <f>IF(B24="Yes",I24,"")</f>
        <v/>
      </c>
      <c r="M24">
        <f>IF(B24="No",I24,"")</f>
        <v/>
      </c>
    </row>
    <row r="25">
      <c r="A25" t="inlineStr">
        <is>
          <t>Pelorous/Kenepuru Sound</t>
        </is>
      </c>
      <c r="B25" t="inlineStr">
        <is>
          <t>No</t>
        </is>
      </c>
      <c r="C25" t="n">
        <v>-1.463269077</v>
      </c>
      <c r="D25" t="n">
        <v>1.510455235</v>
      </c>
      <c r="E25">
        <f>(C25-0)/(D25-0)</f>
        <v/>
      </c>
      <c r="H25">
        <f>(-0.423035119-0)/(D25-0)</f>
        <v/>
      </c>
      <c r="I25">
        <f>(D25-0)/(D25-0)</f>
        <v/>
      </c>
      <c r="J25">
        <f>IF(B25="Yes",E25,"")</f>
        <v/>
      </c>
      <c r="K25">
        <f>IF(B25="No",E25,"")</f>
        <v/>
      </c>
      <c r="L25">
        <f>IF(B25="Yes",I25,"")</f>
        <v/>
      </c>
      <c r="M25">
        <f>IF(B25="No",I25,"")</f>
        <v/>
      </c>
    </row>
    <row r="26">
      <c r="A26" t="inlineStr">
        <is>
          <t>Porirua Harbour</t>
        </is>
      </c>
      <c r="B26" t="inlineStr">
        <is>
          <t>No</t>
        </is>
      </c>
      <c r="C26" t="n">
        <v>-0.736740468</v>
      </c>
      <c r="D26" t="n">
        <v>0.796341637</v>
      </c>
      <c r="E26">
        <f>(C26-0)/(D26-0)</f>
        <v/>
      </c>
      <c r="H26">
        <f>(-0.246071821-0)/(D26-0)</f>
        <v/>
      </c>
      <c r="I26">
        <f>(D26-0)/(D26-0)</f>
        <v/>
      </c>
      <c r="J26">
        <f>IF(B26="Yes",E26,"")</f>
        <v/>
      </c>
      <c r="K26">
        <f>IF(B26="No",E26,"")</f>
        <v/>
      </c>
      <c r="L26">
        <f>IF(B26="Yes",I26,"")</f>
        <v/>
      </c>
      <c r="M26">
        <f>IF(B26="No",I26,"")</f>
        <v/>
      </c>
    </row>
    <row r="27">
      <c r="A27" t="inlineStr">
        <is>
          <t>Port Fitzroy/Port Albercrombie</t>
        </is>
      </c>
      <c r="B27" t="inlineStr">
        <is>
          <t>Yes</t>
        </is>
      </c>
      <c r="C27" t="n">
        <v>-1.364633924</v>
      </c>
      <c r="D27" t="n">
        <v>1.354657412</v>
      </c>
      <c r="E27">
        <f>(C27-0)/(D27-0)</f>
        <v/>
      </c>
      <c r="F27">
        <f>(-0.589080792-0)/(D27-0)</f>
        <v/>
      </c>
      <c r="G27">
        <f>(-0.408491568-0)/(D27-0)</f>
        <v/>
      </c>
      <c r="I27">
        <f>(D27-0)/(D27-0)</f>
        <v/>
      </c>
      <c r="J27">
        <f>IF(B27="Yes",E27,"")</f>
        <v/>
      </c>
      <c r="K27">
        <f>IF(B27="No",E27,"")</f>
        <v/>
      </c>
      <c r="L27">
        <f>IF(B27="Yes",I27,"")</f>
        <v/>
      </c>
      <c r="M27">
        <f>IF(B27="No",I27,"")</f>
        <v/>
      </c>
    </row>
    <row r="28">
      <c r="A28" t="inlineStr">
        <is>
          <t>Port Underwood</t>
        </is>
      </c>
      <c r="B28" t="inlineStr">
        <is>
          <t>No</t>
        </is>
      </c>
      <c r="C28" t="n">
        <v>-0.849810736</v>
      </c>
      <c r="D28" t="n">
        <v>0.838549828</v>
      </c>
      <c r="E28">
        <f>(C28-0)/(D28-0)</f>
        <v/>
      </c>
      <c r="H28">
        <f>(-0.083254938-0)/(D28-0)</f>
        <v/>
      </c>
      <c r="I28">
        <f>(D28-0)/(D28-0)</f>
        <v/>
      </c>
      <c r="J28">
        <f>IF(B28="Yes",E28,"")</f>
        <v/>
      </c>
      <c r="K28">
        <f>IF(B28="No",E28,"")</f>
        <v/>
      </c>
      <c r="L28">
        <f>IF(B28="Yes",I28,"")</f>
        <v/>
      </c>
      <c r="M28">
        <f>IF(B28="No",I28,"")</f>
        <v/>
      </c>
    </row>
    <row r="29">
      <c r="A29" t="inlineStr">
        <is>
          <t>Queen Charlotte Sound (Totaranui)</t>
        </is>
      </c>
      <c r="B29" t="inlineStr">
        <is>
          <t>No</t>
        </is>
      </c>
      <c r="C29" t="n">
        <v>-0.928298498</v>
      </c>
      <c r="D29" t="n">
        <v>0.884061308</v>
      </c>
      <c r="E29">
        <f>(C29-0)/(D29-0)</f>
        <v/>
      </c>
      <c r="H29">
        <f>(-0.144177079-0)/(D29-0)</f>
        <v/>
      </c>
      <c r="I29">
        <f>(D29-0)/(D29-0)</f>
        <v/>
      </c>
      <c r="J29">
        <f>IF(B29="Yes",E29,"")</f>
        <v/>
      </c>
      <c r="K29">
        <f>IF(B29="No",E29,"")</f>
        <v/>
      </c>
      <c r="L29">
        <f>IF(B29="Yes",I29,"")</f>
        <v/>
      </c>
      <c r="M29">
        <f>IF(B29="No",I29,"")</f>
        <v/>
      </c>
    </row>
    <row r="30">
      <c r="A30" t="inlineStr">
        <is>
          <t>Raglan Harbour System (RHS)</t>
        </is>
      </c>
      <c r="B30" t="inlineStr">
        <is>
          <t>Yes</t>
        </is>
      </c>
      <c r="C30" t="n">
        <v>-1.910360907</v>
      </c>
      <c r="D30" t="n">
        <v>1.923626145</v>
      </c>
      <c r="E30">
        <f>(C30-0)/(D30-0)</f>
        <v/>
      </c>
      <c r="F30">
        <f>(0.270638229-0)/(D30-0)</f>
        <v/>
      </c>
      <c r="G30">
        <f>(0.72980844-0)/(D30-0)</f>
        <v/>
      </c>
      <c r="I30">
        <f>(D30-0)/(D30-0)</f>
        <v/>
      </c>
      <c r="J30">
        <f>IF(B30="Yes",E30,"")</f>
        <v/>
      </c>
      <c r="K30">
        <f>IF(B30="No",E30,"")</f>
        <v/>
      </c>
      <c r="L30">
        <f>IF(B30="Yes",I30,"")</f>
        <v/>
      </c>
      <c r="M30">
        <f>IF(B30="No",I30,"")</f>
        <v/>
      </c>
    </row>
    <row r="31">
      <c r="A31" t="inlineStr">
        <is>
          <t>Rangaunu Harbour</t>
        </is>
      </c>
      <c r="B31" t="inlineStr">
        <is>
          <t>Yes</t>
        </is>
      </c>
      <c r="C31" t="n">
        <v>-1.359595963</v>
      </c>
      <c r="D31" t="n">
        <v>1.368790907</v>
      </c>
      <c r="E31">
        <f>(C31-0)/(D31-0)</f>
        <v/>
      </c>
      <c r="F31">
        <f>(0.127792338-0)/(D31-0)</f>
        <v/>
      </c>
      <c r="G31">
        <f>(0.794627689-0)/(D31-0)</f>
        <v/>
      </c>
      <c r="I31">
        <f>(D31-0)/(D31-0)</f>
        <v/>
      </c>
      <c r="J31">
        <f>IF(B31="Yes",E31,"")</f>
        <v/>
      </c>
      <c r="K31">
        <f>IF(B31="No",E31,"")</f>
        <v/>
      </c>
      <c r="L31">
        <f>IF(B31="Yes",I31,"")</f>
        <v/>
      </c>
      <c r="M31">
        <f>IF(B31="No",I31,"")</f>
        <v/>
      </c>
    </row>
    <row r="32">
      <c r="A32" t="inlineStr">
        <is>
          <t>Ruataniwha Inlet</t>
        </is>
      </c>
      <c r="B32" t="inlineStr">
        <is>
          <t>No</t>
        </is>
      </c>
      <c r="C32" t="n">
        <v>-2.285702117</v>
      </c>
      <c r="D32" t="n">
        <v>2.318672358</v>
      </c>
      <c r="E32">
        <f>(C32-0)/(D32-0)</f>
        <v/>
      </c>
      <c r="H32">
        <f>(0.442307422-0)/(D32-0)</f>
        <v/>
      </c>
      <c r="I32">
        <f>(D32-0)/(D32-0)</f>
        <v/>
      </c>
      <c r="J32">
        <f>IF(B32="Yes",E32,"")</f>
        <v/>
      </c>
      <c r="K32">
        <f>IF(B32="No",E32,"")</f>
        <v/>
      </c>
      <c r="L32">
        <f>IF(B32="Yes",I32,"")</f>
        <v/>
      </c>
      <c r="M32">
        <f>IF(B32="No",I32,"")</f>
        <v/>
      </c>
    </row>
    <row r="33">
      <c r="A33" t="inlineStr">
        <is>
          <t>Tairua Harbour</t>
        </is>
      </c>
      <c r="B33" t="inlineStr">
        <is>
          <t>Yes</t>
        </is>
      </c>
      <c r="C33" t="n">
        <v>-0.609170251</v>
      </c>
      <c r="D33" t="n">
        <v>0.923010701</v>
      </c>
      <c r="E33">
        <f>(C33-0)/(D33-0)</f>
        <v/>
      </c>
      <c r="F33">
        <f>(-0.271449809-0)/(D33-0)</f>
        <v/>
      </c>
      <c r="G33">
        <f>(-0.026760072-0)/(D33-0)</f>
        <v/>
      </c>
      <c r="I33">
        <f>(D33-0)/(D33-0)</f>
        <v/>
      </c>
      <c r="J33">
        <f>IF(B33="Yes",E33,"")</f>
        <v/>
      </c>
      <c r="K33">
        <f>IF(B33="No",E33,"")</f>
        <v/>
      </c>
      <c r="L33">
        <f>IF(B33="Yes",I33,"")</f>
        <v/>
      </c>
      <c r="M33">
        <f>IF(B33="No",I33,"")</f>
        <v/>
      </c>
    </row>
    <row r="34">
      <c r="A34" t="inlineStr">
        <is>
          <t>Tamaki River</t>
        </is>
      </c>
      <c r="B34" t="inlineStr">
        <is>
          <t>Yes</t>
        </is>
      </c>
      <c r="C34" t="n">
        <v>-1.746562175</v>
      </c>
      <c r="D34" t="n">
        <v>1.794385113</v>
      </c>
      <c r="E34">
        <f>(C34-0)/(D34-0)</f>
        <v/>
      </c>
      <c r="F34">
        <f>(-0.036132994-0)/(D34-0)</f>
        <v/>
      </c>
      <c r="G34">
        <f>(0.649764875-0)/(D34-0)</f>
        <v/>
      </c>
      <c r="I34">
        <f>(D34-0)/(D34-0)</f>
        <v/>
      </c>
      <c r="J34">
        <f>IF(B34="Yes",E34,"")</f>
        <v/>
      </c>
      <c r="K34">
        <f>IF(B34="No",E34,"")</f>
        <v/>
      </c>
      <c r="L34">
        <f>IF(B34="Yes",I34,"")</f>
        <v/>
      </c>
      <c r="M34">
        <f>IF(B34="No",I34,"")</f>
        <v/>
      </c>
    </row>
    <row r="35">
      <c r="A35" t="inlineStr">
        <is>
          <t>Tauranga Harbour System</t>
        </is>
      </c>
      <c r="B35" t="inlineStr">
        <is>
          <t>Yes</t>
        </is>
      </c>
      <c r="C35" t="n">
        <v>-1.114664373</v>
      </c>
      <c r="D35" t="n">
        <v>1.117514072</v>
      </c>
      <c r="E35">
        <f>(C35-0)/(D35-0)</f>
        <v/>
      </c>
      <c r="F35">
        <f>(-0.279770114-0)/(D35-0)</f>
        <v/>
      </c>
      <c r="G35">
        <f>(0.25758945-0)/(D35-0)</f>
        <v/>
      </c>
      <c r="I35">
        <f>(D35-0)/(D35-0)</f>
        <v/>
      </c>
      <c r="J35">
        <f>IF(B35="Yes",E35,"")</f>
        <v/>
      </c>
      <c r="K35">
        <f>IF(B35="No",E35,"")</f>
        <v/>
      </c>
      <c r="L35">
        <f>IF(B35="Yes",I35,"")</f>
        <v/>
      </c>
      <c r="M35">
        <f>IF(B35="No",I35,"")</f>
        <v/>
      </c>
    </row>
    <row r="36">
      <c r="A36" t="inlineStr">
        <is>
          <t>Te Puna /Kerikeri Inlet System</t>
        </is>
      </c>
      <c r="B36" t="inlineStr">
        <is>
          <t>Yes</t>
        </is>
      </c>
      <c r="C36" t="n">
        <v>-1.309226004</v>
      </c>
      <c r="D36" t="n">
        <v>1.302009813</v>
      </c>
      <c r="E36">
        <f>(C36-0)/(D36-0)</f>
        <v/>
      </c>
      <c r="F36">
        <f>(-0.218977349-0)/(D36-0)</f>
        <v/>
      </c>
      <c r="G36">
        <f>(0.232976024-0)/(D36-0)</f>
        <v/>
      </c>
      <c r="I36">
        <f>(D36-0)/(D36-0)</f>
        <v/>
      </c>
      <c r="J36">
        <f>IF(B36="Yes",E36,"")</f>
        <v/>
      </c>
      <c r="K36">
        <f>IF(B36="No",E36,"")</f>
        <v/>
      </c>
      <c r="L36">
        <f>IF(B36="Yes",I36,"")</f>
        <v/>
      </c>
      <c r="M36">
        <f>IF(B36="No",I36,"")</f>
        <v/>
      </c>
    </row>
    <row r="37">
      <c r="A37" t="inlineStr">
        <is>
          <t>Waihi Estuary</t>
        </is>
      </c>
      <c r="B37" t="inlineStr">
        <is>
          <t>Yes</t>
        </is>
      </c>
      <c r="C37" t="n">
        <v>-0.571451728</v>
      </c>
      <c r="D37" t="n">
        <v>0.814916859</v>
      </c>
      <c r="E37">
        <f>(C37-0)/(D37-0)</f>
        <v/>
      </c>
      <c r="F37">
        <f>(0.153573205-0)/(D37-0)</f>
        <v/>
      </c>
      <c r="G37">
        <f>(0.275715458-0)/(D37-0)</f>
        <v/>
      </c>
      <c r="I37">
        <f>(D37-0)/(D37-0)</f>
        <v/>
      </c>
      <c r="J37">
        <f>IF(B37="Yes",E37,"")</f>
        <v/>
      </c>
      <c r="K37">
        <f>IF(B37="No",E37,"")</f>
        <v/>
      </c>
      <c r="L37">
        <f>IF(B37="Yes",I37,"")</f>
        <v/>
      </c>
      <c r="M37">
        <f>IF(B37="No",I37,"")</f>
        <v/>
      </c>
    </row>
    <row r="38">
      <c r="A38" t="inlineStr">
        <is>
          <t>Waikawa Harbour</t>
        </is>
      </c>
      <c r="B38" t="inlineStr">
        <is>
          <t>No</t>
        </is>
      </c>
      <c r="C38" t="n">
        <v>-1.272260273</v>
      </c>
      <c r="D38" t="n">
        <v>1.324695561</v>
      </c>
      <c r="E38">
        <f>(C38-0)/(D38-0)</f>
        <v/>
      </c>
      <c r="H38">
        <f>(-0.251653419-0)/(D38-0)</f>
        <v/>
      </c>
      <c r="I38">
        <f>(D38-0)/(D38-0)</f>
        <v/>
      </c>
      <c r="J38">
        <f>IF(B38="Yes",E38,"")</f>
        <v/>
      </c>
      <c r="K38">
        <f>IF(B38="No",E38,"")</f>
        <v/>
      </c>
      <c r="L38">
        <f>IF(B38="Yes",I38,"")</f>
        <v/>
      </c>
      <c r="M38">
        <f>IF(B38="No",I38,"")</f>
        <v/>
      </c>
    </row>
    <row r="39">
      <c r="A39" t="inlineStr">
        <is>
          <t>Waimea Inlet</t>
        </is>
      </c>
      <c r="B39" t="inlineStr">
        <is>
          <t>No</t>
        </is>
      </c>
      <c r="C39" t="n">
        <v>-2.067208757</v>
      </c>
      <c r="D39" t="n">
        <v>2.1645137</v>
      </c>
      <c r="E39">
        <f>(C39-0)/(D39-0)</f>
        <v/>
      </c>
      <c r="H39">
        <f>(0.744025164-0)/(D39-0)</f>
        <v/>
      </c>
      <c r="I39">
        <f>(D39-0)/(D39-0)</f>
        <v/>
      </c>
      <c r="J39">
        <f>IF(B39="Yes",E39,"")</f>
        <v/>
      </c>
      <c r="K39">
        <f>IF(B39="No",E39,"")</f>
        <v/>
      </c>
      <c r="L39">
        <f>IF(B39="Yes",I39,"")</f>
        <v/>
      </c>
      <c r="M39">
        <f>IF(B39="No",I39,"")</f>
        <v/>
      </c>
    </row>
    <row r="40">
      <c r="A40" t="inlineStr">
        <is>
          <t>Waitemata Harbour System</t>
        </is>
      </c>
      <c r="B40" t="inlineStr">
        <is>
          <t>Yes</t>
        </is>
      </c>
      <c r="C40" t="n">
        <v>-1.770958921</v>
      </c>
      <c r="D40" t="n">
        <v>1.860660019</v>
      </c>
      <c r="E40">
        <f>(C40-0)/(D40-0)</f>
        <v/>
      </c>
      <c r="F40">
        <f>(0.214452349-0)/(D40-0)</f>
        <v/>
      </c>
      <c r="G40">
        <f>(0.689672833-0)/(D40-0)</f>
        <v/>
      </c>
      <c r="I40">
        <f>(D40-0)/(D40-0)</f>
        <v/>
      </c>
      <c r="J40">
        <f>IF(B40="Yes",E40,"")</f>
        <v/>
      </c>
      <c r="K40">
        <f>IF(B40="No",E40,"")</f>
        <v/>
      </c>
      <c r="L40">
        <f>IF(B40="Yes",I40,"")</f>
        <v/>
      </c>
      <c r="M40">
        <f>IF(B40="No",I40,"")</f>
        <v/>
      </c>
    </row>
    <row r="41">
      <c r="A41" t="inlineStr">
        <is>
          <t>Wellington Harbour</t>
        </is>
      </c>
      <c r="B41" t="inlineStr">
        <is>
          <t>No</t>
        </is>
      </c>
      <c r="C41" t="n">
        <v>-0.72104214</v>
      </c>
      <c r="D41" t="n">
        <v>0.762467034</v>
      </c>
      <c r="E41">
        <f>(C41-0)/(D41-0)</f>
        <v/>
      </c>
      <c r="H41">
        <f>(-0.129372564-0)/(D41-0)</f>
        <v/>
      </c>
      <c r="I41">
        <f>(D41-0)/(D41-0)</f>
        <v/>
      </c>
      <c r="J41">
        <f>IF(B41="Yes",E41,"")</f>
        <v/>
      </c>
      <c r="K41">
        <f>IF(B41="No",E41,"")</f>
        <v/>
      </c>
      <c r="L41">
        <f>IF(B41="Yes",I41,"")</f>
        <v/>
      </c>
      <c r="M41">
        <f>IF(B41="No",I41,"")</f>
        <v/>
      </c>
    </row>
    <row r="42">
      <c r="A42" t="inlineStr">
        <is>
          <t>Whanganui Inlet</t>
        </is>
      </c>
      <c r="B42" t="inlineStr">
        <is>
          <t>No</t>
        </is>
      </c>
      <c r="C42" t="n">
        <v>-0.508329528</v>
      </c>
      <c r="D42" t="n">
        <v>1.355519924</v>
      </c>
      <c r="E42">
        <f>(C42-0)/(D42-0)</f>
        <v/>
      </c>
      <c r="H42">
        <f>(0.483059829-0)/(D42-0)</f>
        <v/>
      </c>
      <c r="I42">
        <f>(D42-0)/(D42-0)</f>
        <v/>
      </c>
      <c r="J42">
        <f>IF(B42="Yes",E42,"")</f>
        <v/>
      </c>
      <c r="K42">
        <f>IF(B42="No",E42,"")</f>
        <v/>
      </c>
      <c r="L42">
        <f>IF(B42="Yes",I42,"")</f>
        <v/>
      </c>
      <c r="M42">
        <f>IF(B42="No",I42,"")</f>
        <v/>
      </c>
    </row>
    <row r="43">
      <c r="A43" t="inlineStr">
        <is>
          <t>Whangapoua Harbour</t>
        </is>
      </c>
      <c r="B43" t="inlineStr">
        <is>
          <t>Yes</t>
        </is>
      </c>
      <c r="C43" t="n">
        <v>-1.073630211</v>
      </c>
      <c r="D43" t="n">
        <v>1.173168817</v>
      </c>
      <c r="E43">
        <f>(C43-0)/(D43-0)</f>
        <v/>
      </c>
      <c r="F43">
        <f>(0.01978939-0)/(D43-0)</f>
        <v/>
      </c>
      <c r="G43">
        <f>(0.583313037-0)/(D43-0)</f>
        <v/>
      </c>
      <c r="I43">
        <f>(D43-0)/(D43-0)</f>
        <v/>
      </c>
      <c r="J43">
        <f>IF(B43="Yes",E43,"")</f>
        <v/>
      </c>
      <c r="K43">
        <f>IF(B43="No",E43,"")</f>
        <v/>
      </c>
      <c r="L43">
        <f>IF(B43="Yes",I43,"")</f>
        <v/>
      </c>
      <c r="M43">
        <f>IF(B43="No",I43,"")</f>
        <v/>
      </c>
    </row>
    <row r="44">
      <c r="A44" t="inlineStr">
        <is>
          <t>Whangarei Harbour System</t>
        </is>
      </c>
      <c r="B44" t="inlineStr">
        <is>
          <t>Yes</t>
        </is>
      </c>
      <c r="C44" t="n">
        <v>-1.45991035</v>
      </c>
      <c r="D44" t="n">
        <v>1.488972591</v>
      </c>
      <c r="E44">
        <f>(C44-0)/(D44-0)</f>
        <v/>
      </c>
      <c r="F44">
        <f>(-0.267596409-0)/(D44-0)</f>
        <v/>
      </c>
      <c r="G44">
        <f>(0.348220487-0)/(D44-0)</f>
        <v/>
      </c>
      <c r="I44">
        <f>(D44-0)/(D44-0)</f>
        <v/>
      </c>
      <c r="J44">
        <f>IF(B44="Yes",E44,"")</f>
        <v/>
      </c>
      <c r="K44">
        <f>IF(B44="No",E44,"")</f>
        <v/>
      </c>
      <c r="L44">
        <f>IF(B44="Yes",I44,"")</f>
        <v/>
      </c>
      <c r="M44">
        <f>IF(B44="No",I44,"")</f>
        <v/>
      </c>
    </row>
    <row r="45">
      <c r="A45" t="inlineStr">
        <is>
          <t>Whangaroa Harbour</t>
        </is>
      </c>
      <c r="B45" t="inlineStr">
        <is>
          <t>Yes</t>
        </is>
      </c>
      <c r="C45" t="n">
        <v>-1.31933894</v>
      </c>
      <c r="D45" t="n">
        <v>1.304908009</v>
      </c>
      <c r="E45">
        <f>(C45-0)/(D45-0)</f>
        <v/>
      </c>
      <c r="F45">
        <f>(0.138694102-0)/(D45-0)</f>
        <v/>
      </c>
      <c r="G45">
        <f>(0.487137478-0)/(D45-0)</f>
        <v/>
      </c>
      <c r="I45">
        <f>(D45-0)/(D45-0)</f>
        <v/>
      </c>
      <c r="J45">
        <f>IF(B45="Yes",E45,"")</f>
        <v/>
      </c>
      <c r="K45">
        <f>IF(B45="No",E45,"")</f>
        <v/>
      </c>
      <c r="L45">
        <f>IF(B45="Yes",I45,"")</f>
        <v/>
      </c>
      <c r="M45">
        <f>IF(B45="No",I45,"")</f>
        <v/>
      </c>
    </row>
    <row r="46">
      <c r="A46" t="inlineStr">
        <is>
          <t>Whangateau Harbour</t>
        </is>
      </c>
      <c r="B46" t="inlineStr">
        <is>
          <t>Yes</t>
        </is>
      </c>
      <c r="C46" t="n">
        <v>-1.442590672</v>
      </c>
      <c r="D46" t="n">
        <v>1.463704648</v>
      </c>
      <c r="E46">
        <f>(C46-0)/(D46-0)</f>
        <v/>
      </c>
      <c r="F46">
        <f>(-0.124026537-0)/(D46-0)</f>
        <v/>
      </c>
      <c r="G46">
        <f>(0.224864852-0)/(D46-0)</f>
        <v/>
      </c>
      <c r="I46">
        <f>(D46-0)/(D46-0)</f>
        <v/>
      </c>
      <c r="J46">
        <f>IF(B46="Yes",E46,"")</f>
        <v/>
      </c>
      <c r="K46">
        <f>IF(B46="No",E46,"")</f>
        <v/>
      </c>
      <c r="L46">
        <f>IF(B46="Yes",I46,"")</f>
        <v/>
      </c>
      <c r="M46">
        <f>IF(B46="No",I46,"")</f>
        <v/>
      </c>
    </row>
    <row r="47">
      <c r="A47" t="inlineStr">
        <is>
          <t>Whitford Embayment System (WES)</t>
        </is>
      </c>
      <c r="B47" t="inlineStr">
        <is>
          <t>Yes</t>
        </is>
      </c>
      <c r="C47" t="n">
        <v>-1.727531234</v>
      </c>
      <c r="D47" t="n">
        <v>1.786991208</v>
      </c>
      <c r="E47">
        <f>(C47-0)/(D47-0)</f>
        <v/>
      </c>
      <c r="F47">
        <f>(0.325492183-0)/(D47-0)</f>
        <v/>
      </c>
      <c r="G47">
        <f>(0.868312791-0)/(D47-0)</f>
        <v/>
      </c>
      <c r="I47">
        <f>(D47-0)/(D47-0)</f>
        <v/>
      </c>
      <c r="J47">
        <f>IF(B47="Yes",E47,"")</f>
        <v/>
      </c>
      <c r="K47">
        <f>IF(B47="No",E47,"")</f>
        <v/>
      </c>
      <c r="L47">
        <f>IF(B47="Yes",I47,"")</f>
        <v/>
      </c>
      <c r="M47">
        <f>IF(B47="No",I47,"")</f>
        <v/>
      </c>
    </row>
    <row r="48">
      <c r="A48" t="inlineStr">
        <is>
          <t>Whitianga Harbour (MBS)</t>
        </is>
      </c>
      <c r="B48" t="inlineStr">
        <is>
          <t>Yes</t>
        </is>
      </c>
      <c r="C48" t="n">
        <v>-1.107120872</v>
      </c>
      <c r="D48" t="n">
        <v>1.136647693</v>
      </c>
      <c r="E48">
        <f>(C48-0)/(D48-0)</f>
        <v/>
      </c>
      <c r="F48">
        <f>(-0.137899182-0)/(D48-0)</f>
        <v/>
      </c>
      <c r="G48">
        <f>(0.281698364-0)/(D48-0)</f>
        <v/>
      </c>
      <c r="I48">
        <f>(D48-0)/(D48-0)</f>
        <v/>
      </c>
      <c r="J48">
        <f>IF(B48="Yes",E48,"")</f>
        <v/>
      </c>
      <c r="K48">
        <f>IF(B48="No",E48,"")</f>
        <v/>
      </c>
      <c r="L48">
        <f>IF(B48="Yes",I48,"")</f>
        <v/>
      </c>
      <c r="M48">
        <f>IF(B48="No",I48,"")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  <col width="14" customWidth="1" min="5" max="5"/>
  </cols>
  <sheetData>
    <row r="1">
      <c r="A1" s="1" t="inlineStr">
        <is>
          <t>National median and IQR STPI values by habitat boundary (matches manuscript Table 3)</t>
        </is>
      </c>
    </row>
    <row r="3" ht="30" customHeight="1">
      <c r="A3" s="6" t="inlineStr">
        <is>
          <t>Habitat boundary</t>
        </is>
      </c>
      <c r="B3" s="6" t="inlineStr">
        <is>
          <t>Median STPI
(with mangroves)</t>
        </is>
      </c>
      <c r="C3" s="6" t="inlineStr">
        <is>
          <t>IQR
(with mangroves)</t>
        </is>
      </c>
      <c r="D3" s="6" t="inlineStr">
        <is>
          <t>Median STPI
(without mangroves)</t>
        </is>
      </c>
      <c r="E3" s="6" t="inlineStr">
        <is>
          <t>IQR
(without mangroves)</t>
        </is>
      </c>
    </row>
    <row r="4">
      <c r="A4" t="inlineStr">
        <is>
          <t>Seagrass lower</t>
        </is>
      </c>
      <c r="B4" s="8">
        <f>MEDIAN(STPI_by_estuary!J2:J48)</f>
        <v/>
      </c>
      <c r="C4" s="8">
        <f>QUARTILE(STPI_by_estuary!J2:J48,3)-QUARTILE(STPI_by_estuary!J2:J48,1)</f>
        <v/>
      </c>
      <c r="D4" s="8">
        <f>MEDIAN(STPI_by_estuary!K2:K48)</f>
        <v/>
      </c>
      <c r="E4" s="8">
        <f>QUARTILE(STPI_by_estuary!K2:K48,3)-QUARTILE(STPI_by_estuary!K2:K48,1)</f>
        <v/>
      </c>
    </row>
    <row r="5">
      <c r="A5" t="inlineStr">
        <is>
          <t>Seagrass upper / Mangrove lower</t>
        </is>
      </c>
      <c r="B5" s="8">
        <f>MEDIAN(STPI_by_estuary!F2:F48)</f>
        <v/>
      </c>
      <c r="C5" s="8">
        <f>QUARTILE(STPI_by_estuary!F2:F48,3)-QUARTILE(STPI_by_estuary!F2:F48,1)</f>
        <v/>
      </c>
      <c r="D5" t="inlineStr">
        <is>
          <t>n/a</t>
        </is>
      </c>
      <c r="E5" t="inlineStr">
        <is>
          <t>n/a</t>
        </is>
      </c>
    </row>
    <row r="6">
      <c r="A6" t="inlineStr">
        <is>
          <t>Mangrove upper / Saltmarsh lower</t>
        </is>
      </c>
      <c r="B6" s="8">
        <f>MEDIAN(STPI_by_estuary!G2:G48)</f>
        <v/>
      </c>
      <c r="C6" s="8">
        <f>QUARTILE(STPI_by_estuary!G2:G48,3)-QUARTILE(STPI_by_estuary!G2:G48,1)</f>
        <v/>
      </c>
      <c r="D6" t="inlineStr">
        <is>
          <t>n/a</t>
        </is>
      </c>
      <c r="E6" t="inlineStr">
        <is>
          <t>n/a</t>
        </is>
      </c>
    </row>
    <row r="7">
      <c r="A7" t="inlineStr">
        <is>
          <t>Seagrass-Saltmarsh boundary</t>
        </is>
      </c>
      <c r="B7" t="inlineStr">
        <is>
          <t>n/a</t>
        </is>
      </c>
      <c r="C7" t="inlineStr">
        <is>
          <t>n/a</t>
        </is>
      </c>
      <c r="D7" s="8">
        <f>MEDIAN(STPI_by_estuary!H2:H48)</f>
        <v/>
      </c>
      <c r="E7" s="8">
        <f>QUARTILE(STPI_by_estuary!H2:H48,3)-QUARTILE(STPI_by_estuary!H2:H48,1)</f>
        <v/>
      </c>
    </row>
    <row r="8">
      <c r="A8" t="inlineStr">
        <is>
          <t>Saltmarsh upper</t>
        </is>
      </c>
      <c r="B8" s="8">
        <f>MEDIAN(STPI_by_estuary!L2:L48)</f>
        <v/>
      </c>
      <c r="C8" s="8">
        <f>QUARTILE(STPI_by_estuary!L2:L48,3)-QUARTILE(STPI_by_estuary!L2:L48,1)</f>
        <v/>
      </c>
      <c r="D8" s="8">
        <f>MEDIAN(STPI_by_estuary!M2:M48)</f>
        <v/>
      </c>
      <c r="E8" s="8">
        <f>QUARTILE(STPI_by_estuary!M2:M48,3)-QUARTILE(STPI_by_estuary!M2:M48,1)</f>
        <v/>
      </c>
    </row>
    <row r="10" ht="45" customHeight="1">
      <c r="A10" s="2" t="inlineStr">
        <is>
          <t>Values in this table should match manuscript Table 3 exactly. All formulas reference STPI_by_estuary directly — no values are hard-coded here, so this recalculates automatically if any estuary's tidal datum or boundary elevation is corrected.</t>
        </is>
      </c>
    </row>
  </sheetData>
  <mergeCells count="2">
    <mergeCell ref="A1:E1"/>
    <mergeCell ref="A10:E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1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5" t="inlineStr">
        <is>
          <t>Estuary</t>
        </is>
      </c>
      <c r="B1" s="5" t="inlineStr">
        <is>
          <t>Estuary type</t>
        </is>
      </c>
      <c r="C1" s="5" t="inlineStr">
        <is>
          <t>Mangroves present?</t>
        </is>
      </c>
      <c r="D1" s="5" t="inlineStr">
        <is>
          <t>LAT (m)</t>
        </is>
      </c>
      <c r="E1" s="5" t="inlineStr">
        <is>
          <t>Seagrass|Mangrove boundary (m)</t>
        </is>
      </c>
      <c r="F1" s="5" t="inlineStr">
        <is>
          <t>Mangrove|Saltmarsh boundary (m)</t>
        </is>
      </c>
      <c r="G1" s="5" t="inlineStr">
        <is>
          <t>Seagrass|Saltmarsh boundary (m)</t>
        </is>
      </c>
      <c r="H1" s="5" t="inlineStr">
        <is>
          <t>HAT (m)</t>
        </is>
      </c>
    </row>
    <row r="2">
      <c r="A2" t="inlineStr">
        <is>
          <t>Akaroa Harbour</t>
        </is>
      </c>
      <c r="B2" t="inlineStr">
        <is>
          <t>Deep drowned valley</t>
        </is>
      </c>
      <c r="C2" t="inlineStr">
        <is>
          <t>No</t>
        </is>
      </c>
      <c r="D2" t="n">
        <v>-1.33333417</v>
      </c>
      <c r="G2" t="n">
        <v>-0.12403639</v>
      </c>
      <c r="H2" t="n">
        <v>1.311137217</v>
      </c>
    </row>
    <row r="3">
      <c r="A3" t="inlineStr">
        <is>
          <t>Aotea Harbour System (AHS)</t>
        </is>
      </c>
      <c r="B3" t="inlineStr">
        <is>
          <t>Shallow drowned valley</t>
        </is>
      </c>
      <c r="C3" t="inlineStr">
        <is>
          <t>Yes</t>
        </is>
      </c>
      <c r="D3" t="n">
        <v>-1.447389877</v>
      </c>
      <c r="E3" t="n">
        <v>0.344555398</v>
      </c>
      <c r="F3" t="n">
        <v>0.817147506</v>
      </c>
      <c r="H3" t="n">
        <v>1.597607153</v>
      </c>
    </row>
    <row r="4">
      <c r="A4" t="inlineStr">
        <is>
          <t>Avon-Heathcote River</t>
        </is>
      </c>
      <c r="B4" t="inlineStr">
        <is>
          <t>Tidal lagoon</t>
        </is>
      </c>
      <c r="C4" t="inlineStr">
        <is>
          <t>No</t>
        </is>
      </c>
      <c r="D4" t="n">
        <v>-0.176876962</v>
      </c>
      <c r="G4" t="n">
        <v>0.026919678</v>
      </c>
      <c r="H4" t="n">
        <v>0.799798767</v>
      </c>
    </row>
    <row r="5">
      <c r="A5" t="inlineStr">
        <is>
          <t>Bluff Harbour</t>
        </is>
      </c>
      <c r="B5" t="inlineStr">
        <is>
          <t>Shallow drowned valley</t>
        </is>
      </c>
      <c r="C5" t="inlineStr">
        <is>
          <t>No</t>
        </is>
      </c>
      <c r="D5" t="n">
        <v>-1.475255354</v>
      </c>
      <c r="G5" t="n">
        <v>0.047711166</v>
      </c>
      <c r="H5" t="n">
        <v>1.437868377</v>
      </c>
    </row>
    <row r="6">
      <c r="A6" t="inlineStr">
        <is>
          <t>Coromandel Harbour</t>
        </is>
      </c>
      <c r="B6" t="inlineStr">
        <is>
          <t>Shallow drowned valley</t>
        </is>
      </c>
      <c r="C6" t="inlineStr">
        <is>
          <t>Yes</t>
        </is>
      </c>
      <c r="D6" t="n">
        <v>-1.70825043</v>
      </c>
      <c r="E6" t="n">
        <v>-0.465606469</v>
      </c>
      <c r="F6" t="n">
        <v>0.038463486</v>
      </c>
      <c r="H6" t="n">
        <v>1.773667252</v>
      </c>
    </row>
    <row r="7">
      <c r="A7" t="inlineStr">
        <is>
          <t>Croisilles Harbour</t>
        </is>
      </c>
      <c r="B7" t="inlineStr">
        <is>
          <t>Deep drowned valley</t>
        </is>
      </c>
      <c r="C7" t="inlineStr">
        <is>
          <t>No</t>
        </is>
      </c>
      <c r="D7" t="n">
        <v>-2.137554146</v>
      </c>
      <c r="G7" t="n">
        <v>-0.174314232</v>
      </c>
      <c r="H7" t="n">
        <v>2.163878123</v>
      </c>
    </row>
    <row r="8">
      <c r="A8" t="inlineStr">
        <is>
          <t>Firth of Thames</t>
        </is>
      </c>
      <c r="B8" t="inlineStr">
        <is>
          <t>Coastal Embayment</t>
        </is>
      </c>
      <c r="C8" t="inlineStr">
        <is>
          <t>Yes</t>
        </is>
      </c>
      <c r="D8" t="n">
        <v>-1.878444341</v>
      </c>
      <c r="E8" t="n">
        <v>-0.089262615</v>
      </c>
      <c r="F8" t="n">
        <v>0.830674427</v>
      </c>
      <c r="H8" t="n">
        <v>1.966099239</v>
      </c>
    </row>
    <row r="9">
      <c r="A9" t="inlineStr">
        <is>
          <t>Hokianga Harbour System</t>
        </is>
      </c>
      <c r="B9" t="inlineStr">
        <is>
          <t>Shallow drowned valley</t>
        </is>
      </c>
      <c r="C9" t="inlineStr">
        <is>
          <t>Yes</t>
        </is>
      </c>
      <c r="D9" t="n">
        <v>-1.842972201</v>
      </c>
      <c r="E9" t="n">
        <v>0.346646507</v>
      </c>
      <c r="F9" t="n">
        <v>0.944116533</v>
      </c>
      <c r="H9" t="n">
        <v>1.821482481</v>
      </c>
    </row>
    <row r="10">
      <c r="A10" t="inlineStr">
        <is>
          <t>Houhora Harbour</t>
        </is>
      </c>
      <c r="B10" t="inlineStr">
        <is>
          <t>Shallow drowned valley</t>
        </is>
      </c>
      <c r="C10" t="inlineStr">
        <is>
          <t>Yes</t>
        </is>
      </c>
      <c r="D10" t="n">
        <v>-1.32507657</v>
      </c>
      <c r="E10" t="n">
        <v>0.519137749</v>
      </c>
      <c r="F10" t="n">
        <v>0.667391178</v>
      </c>
      <c r="H10" t="n">
        <v>1.298793555</v>
      </c>
    </row>
    <row r="11">
      <c r="A11" t="inlineStr">
        <is>
          <t>Kaipara Harbour System</t>
        </is>
      </c>
      <c r="B11" t="inlineStr">
        <is>
          <t>Shallow drowned valley</t>
        </is>
      </c>
      <c r="C11" t="inlineStr">
        <is>
          <t>Yes</t>
        </is>
      </c>
      <c r="D11" t="n">
        <v>-1.823794761</v>
      </c>
      <c r="E11" t="n">
        <v>0.326124675</v>
      </c>
      <c r="F11" t="n">
        <v>1.201133625</v>
      </c>
      <c r="H11" t="n">
        <v>1.818351879</v>
      </c>
    </row>
    <row r="12">
      <c r="A12" t="inlineStr">
        <is>
          <t>Kawhia Harbour System (KHS)</t>
        </is>
      </c>
      <c r="B12" t="inlineStr">
        <is>
          <t>Shallow drowned valley</t>
        </is>
      </c>
      <c r="C12" t="inlineStr">
        <is>
          <t>Yes</t>
        </is>
      </c>
      <c r="D12" t="n">
        <v>-1.920537908</v>
      </c>
      <c r="E12" t="n">
        <v>0.348778349</v>
      </c>
      <c r="F12" t="n">
        <v>0.720061522</v>
      </c>
      <c r="H12" t="n">
        <v>1.910403589</v>
      </c>
    </row>
    <row r="13">
      <c r="A13" t="inlineStr">
        <is>
          <t>Lyttelton Harbour</t>
        </is>
      </c>
      <c r="B13" t="inlineStr">
        <is>
          <t>Deep drowned valley</t>
        </is>
      </c>
      <c r="C13" t="inlineStr">
        <is>
          <t>No</t>
        </is>
      </c>
      <c r="D13" t="n">
        <v>-1.353984693</v>
      </c>
      <c r="G13" t="n">
        <v>0.058653473</v>
      </c>
      <c r="H13" t="n">
        <v>1.378741327</v>
      </c>
    </row>
    <row r="14">
      <c r="A14" t="inlineStr">
        <is>
          <t>Mahurangi Harbour System</t>
        </is>
      </c>
      <c r="B14" t="inlineStr">
        <is>
          <t>Shallow drowned valley</t>
        </is>
      </c>
      <c r="C14" t="inlineStr">
        <is>
          <t>Yes</t>
        </is>
      </c>
      <c r="D14" t="n">
        <v>-1.58842866</v>
      </c>
      <c r="E14" t="n">
        <v>0.106392669</v>
      </c>
      <c r="F14" t="n">
        <v>0.504916981</v>
      </c>
      <c r="H14" t="n">
        <v>1.633225314</v>
      </c>
    </row>
    <row r="15">
      <c r="A15" t="inlineStr">
        <is>
          <t>Manaia Harbour</t>
        </is>
      </c>
      <c r="B15" t="inlineStr">
        <is>
          <t>Shallow drowned valley</t>
        </is>
      </c>
      <c r="C15" t="inlineStr">
        <is>
          <t>Yes</t>
        </is>
      </c>
      <c r="D15" t="n">
        <v>-1.722039136</v>
      </c>
      <c r="E15" t="n">
        <v>-0.41378805</v>
      </c>
      <c r="F15" t="n">
        <v>0.125891681</v>
      </c>
      <c r="H15" t="n">
        <v>1.794137356</v>
      </c>
    </row>
    <row r="16">
      <c r="A16" t="inlineStr">
        <is>
          <t>Mangonui Harbour</t>
        </is>
      </c>
      <c r="B16" t="inlineStr">
        <is>
          <t>Shallow drowned valley</t>
        </is>
      </c>
      <c r="C16" t="inlineStr">
        <is>
          <t>Yes</t>
        </is>
      </c>
      <c r="D16" t="n">
        <v>-1.315044152</v>
      </c>
      <c r="E16" t="n">
        <v>0.122286004</v>
      </c>
      <c r="F16" t="n">
        <v>0.590613533</v>
      </c>
      <c r="H16" t="n">
        <v>1.301089908</v>
      </c>
    </row>
    <row r="17">
      <c r="A17" t="inlineStr">
        <is>
          <t>Manukau Harbour System (MHS)</t>
        </is>
      </c>
      <c r="B17" t="inlineStr">
        <is>
          <t>Shallow drowned valley</t>
        </is>
      </c>
      <c r="C17" t="inlineStr">
        <is>
          <t>Yes</t>
        </is>
      </c>
      <c r="D17" t="n">
        <v>-2.142335221</v>
      </c>
      <c r="E17" t="n">
        <v>0.1209267</v>
      </c>
      <c r="F17" t="n">
        <v>0.825509198</v>
      </c>
      <c r="H17" t="n">
        <v>2.101092563</v>
      </c>
    </row>
    <row r="18">
      <c r="A18" t="inlineStr">
        <is>
          <t>Moutere Inlet</t>
        </is>
      </c>
      <c r="B18" t="inlineStr">
        <is>
          <t>Shallow drowned valley</t>
        </is>
      </c>
      <c r="C18" t="inlineStr">
        <is>
          <t>No</t>
        </is>
      </c>
      <c r="D18" t="n">
        <v>-2.179065361</v>
      </c>
      <c r="G18" t="n">
        <v>0.749741982</v>
      </c>
      <c r="H18" t="n">
        <v>2.251308173</v>
      </c>
    </row>
    <row r="19">
      <c r="A19" t="inlineStr">
        <is>
          <t>Nelson Haven</t>
        </is>
      </c>
      <c r="B19" t="inlineStr">
        <is>
          <t>Tidal lagoon</t>
        </is>
      </c>
      <c r="C19" t="inlineStr">
        <is>
          <t>No</t>
        </is>
      </c>
      <c r="D19" t="n">
        <v>-2.157180747</v>
      </c>
      <c r="G19" t="n">
        <v>0.6002354600000001</v>
      </c>
      <c r="H19" t="n">
        <v>2.204830989</v>
      </c>
    </row>
    <row r="20">
      <c r="A20" t="inlineStr">
        <is>
          <t>New River (Oreti) Estuary</t>
        </is>
      </c>
      <c r="B20" t="inlineStr">
        <is>
          <t>Shallow drowned valley</t>
        </is>
      </c>
      <c r="C20" t="inlineStr">
        <is>
          <t>No</t>
        </is>
      </c>
      <c r="D20" t="n">
        <v>-1.060256743</v>
      </c>
      <c r="G20" t="n">
        <v>-0.281809247</v>
      </c>
      <c r="H20" t="n">
        <v>1.251812518</v>
      </c>
    </row>
    <row r="21">
      <c r="A21" t="inlineStr">
        <is>
          <t>Ohiwa Harbour</t>
        </is>
      </c>
      <c r="B21" t="inlineStr">
        <is>
          <t>Deep drowned valley</t>
        </is>
      </c>
      <c r="C21" t="inlineStr">
        <is>
          <t>Yes</t>
        </is>
      </c>
      <c r="D21" t="n">
        <v>-0.990432529</v>
      </c>
      <c r="E21" t="n">
        <v>-0.046357681</v>
      </c>
      <c r="F21" t="n">
        <v>0.36246349</v>
      </c>
      <c r="H21" t="n">
        <v>1.051927407</v>
      </c>
    </row>
    <row r="22">
      <c r="A22" t="inlineStr">
        <is>
          <t>Opua Inlet System</t>
        </is>
      </c>
      <c r="B22" t="inlineStr">
        <is>
          <t>Deep drowned valley</t>
        </is>
      </c>
      <c r="C22" t="inlineStr">
        <is>
          <t>Yes</t>
        </is>
      </c>
      <c r="D22" t="n">
        <v>-1.321688612</v>
      </c>
      <c r="E22" t="n">
        <v>0.127513055</v>
      </c>
      <c r="F22" t="n">
        <v>0.510647812</v>
      </c>
      <c r="H22" t="n">
        <v>1.327242956</v>
      </c>
    </row>
    <row r="23">
      <c r="A23" t="inlineStr">
        <is>
          <t>Otago Harbour</t>
        </is>
      </c>
      <c r="B23" t="inlineStr">
        <is>
          <t>Deep drowned valley</t>
        </is>
      </c>
      <c r="C23" t="inlineStr">
        <is>
          <t>No</t>
        </is>
      </c>
      <c r="D23" t="n">
        <v>-1.282146862</v>
      </c>
      <c r="G23" t="n">
        <v>-0.509714282</v>
      </c>
      <c r="H23" t="n">
        <v>1.23151519</v>
      </c>
    </row>
    <row r="24">
      <c r="A24" t="inlineStr">
        <is>
          <t>Parengarenga Harbour System</t>
        </is>
      </c>
      <c r="B24" t="inlineStr">
        <is>
          <t>Shallow drowned valley</t>
        </is>
      </c>
      <c r="C24" t="inlineStr">
        <is>
          <t>Yes</t>
        </is>
      </c>
      <c r="D24" t="n">
        <v>-1.182789138</v>
      </c>
      <c r="E24" t="n">
        <v>-0.132227155</v>
      </c>
      <c r="F24" t="n">
        <v>0.686773359</v>
      </c>
      <c r="H24" t="n">
        <v>1.240361023</v>
      </c>
    </row>
    <row r="25">
      <c r="A25" t="inlineStr">
        <is>
          <t>Pelorous/Kenepuru Sound</t>
        </is>
      </c>
      <c r="B25" t="inlineStr">
        <is>
          <t>Deep drowned valley</t>
        </is>
      </c>
      <c r="C25" t="inlineStr">
        <is>
          <t>No</t>
        </is>
      </c>
      <c r="D25" t="n">
        <v>-1.463269077</v>
      </c>
      <c r="G25" t="n">
        <v>-0.423035119</v>
      </c>
      <c r="H25" t="n">
        <v>1.510455235</v>
      </c>
    </row>
    <row r="26">
      <c r="A26" t="inlineStr">
        <is>
          <t>Porirua Harbour</t>
        </is>
      </c>
      <c r="B26" t="inlineStr">
        <is>
          <t>Shallow drowned valley</t>
        </is>
      </c>
      <c r="C26" t="inlineStr">
        <is>
          <t>No</t>
        </is>
      </c>
      <c r="D26" t="n">
        <v>-0.736740468</v>
      </c>
      <c r="G26" t="n">
        <v>-0.246071821</v>
      </c>
      <c r="H26" t="n">
        <v>0.796341637</v>
      </c>
    </row>
    <row r="27">
      <c r="A27" t="inlineStr">
        <is>
          <t>Port Fitzroy/Port Albercrombie</t>
        </is>
      </c>
      <c r="B27" t="inlineStr">
        <is>
          <t>Deep drowned valley</t>
        </is>
      </c>
      <c r="C27" t="inlineStr">
        <is>
          <t>Yes</t>
        </is>
      </c>
      <c r="D27" t="n">
        <v>-1.364633924</v>
      </c>
      <c r="E27" t="n">
        <v>-0.589080792</v>
      </c>
      <c r="F27" t="n">
        <v>-0.408491568</v>
      </c>
      <c r="H27" t="n">
        <v>1.354657412</v>
      </c>
    </row>
    <row r="28">
      <c r="A28" t="inlineStr">
        <is>
          <t>Port Underwood</t>
        </is>
      </c>
      <c r="B28" t="inlineStr">
        <is>
          <t>Deep drowned valley</t>
        </is>
      </c>
      <c r="C28" t="inlineStr">
        <is>
          <t>No</t>
        </is>
      </c>
      <c r="D28" t="n">
        <v>-0.849810736</v>
      </c>
      <c r="G28" t="n">
        <v>-0.083254938</v>
      </c>
      <c r="H28" t="n">
        <v>0.838549828</v>
      </c>
    </row>
    <row r="29">
      <c r="A29" t="inlineStr">
        <is>
          <t>Queen Charlotte Sound (Totaranui)</t>
        </is>
      </c>
      <c r="B29" t="inlineStr">
        <is>
          <t>Deep drowned valley</t>
        </is>
      </c>
      <c r="C29" t="inlineStr">
        <is>
          <t>No</t>
        </is>
      </c>
      <c r="D29" t="n">
        <v>-0.928298498</v>
      </c>
      <c r="G29" t="n">
        <v>-0.144177079</v>
      </c>
      <c r="H29" t="n">
        <v>0.884061308</v>
      </c>
    </row>
    <row r="30">
      <c r="A30" t="inlineStr">
        <is>
          <t>Raglan Harbour System (RHS)</t>
        </is>
      </c>
      <c r="B30" t="inlineStr">
        <is>
          <t>Shallow drowned valley</t>
        </is>
      </c>
      <c r="C30" t="inlineStr">
        <is>
          <t>Yes</t>
        </is>
      </c>
      <c r="D30" t="n">
        <v>-1.910360907</v>
      </c>
      <c r="E30" t="n">
        <v>0.270638229</v>
      </c>
      <c r="F30" t="n">
        <v>0.72980844</v>
      </c>
      <c r="H30" t="n">
        <v>1.923626145</v>
      </c>
    </row>
    <row r="31">
      <c r="A31" t="inlineStr">
        <is>
          <t>Rangaunu Harbour</t>
        </is>
      </c>
      <c r="B31" t="inlineStr">
        <is>
          <t>Shallow drowned valley</t>
        </is>
      </c>
      <c r="C31" t="inlineStr">
        <is>
          <t>Yes</t>
        </is>
      </c>
      <c r="D31" t="n">
        <v>-1.359595963</v>
      </c>
      <c r="E31" t="n">
        <v>0.127792338</v>
      </c>
      <c r="F31" t="n">
        <v>0.794627689</v>
      </c>
      <c r="H31" t="n">
        <v>1.368790907</v>
      </c>
    </row>
    <row r="32">
      <c r="A32" t="inlineStr">
        <is>
          <t>Ruataniwha Inlet</t>
        </is>
      </c>
      <c r="B32" t="inlineStr">
        <is>
          <t>Tidal lagoon</t>
        </is>
      </c>
      <c r="C32" t="inlineStr">
        <is>
          <t>No</t>
        </is>
      </c>
      <c r="D32" t="n">
        <v>-2.285702117</v>
      </c>
      <c r="G32" t="n">
        <v>0.442307422</v>
      </c>
      <c r="H32" t="n">
        <v>2.318672358</v>
      </c>
    </row>
    <row r="33">
      <c r="A33" t="inlineStr">
        <is>
          <t>Tairua Harbour</t>
        </is>
      </c>
      <c r="B33" t="inlineStr">
        <is>
          <t>Tidal lagoon</t>
        </is>
      </c>
      <c r="C33" t="inlineStr">
        <is>
          <t>Yes</t>
        </is>
      </c>
      <c r="D33" t="n">
        <v>-0.609170251</v>
      </c>
      <c r="E33" t="n">
        <v>-0.271449809</v>
      </c>
      <c r="F33" t="n">
        <v>-0.026760072</v>
      </c>
      <c r="H33" t="n">
        <v>0.923010701</v>
      </c>
    </row>
    <row r="34">
      <c r="A34" t="inlineStr">
        <is>
          <t>Tamaki River</t>
        </is>
      </c>
      <c r="B34" t="inlineStr">
        <is>
          <t>Shallow drowned valley</t>
        </is>
      </c>
      <c r="C34" t="inlineStr">
        <is>
          <t>Yes</t>
        </is>
      </c>
      <c r="D34" t="n">
        <v>-1.746562175</v>
      </c>
      <c r="E34" t="n">
        <v>-0.036132994</v>
      </c>
      <c r="F34" t="n">
        <v>0.649764875</v>
      </c>
      <c r="H34" t="n">
        <v>1.794385113</v>
      </c>
    </row>
    <row r="35">
      <c r="A35" t="inlineStr">
        <is>
          <t>Tauranga Harbour System</t>
        </is>
      </c>
      <c r="B35" t="inlineStr">
        <is>
          <t>Shallow drowned valley</t>
        </is>
      </c>
      <c r="C35" t="inlineStr">
        <is>
          <t>Yes</t>
        </is>
      </c>
      <c r="D35" t="n">
        <v>-1.114664373</v>
      </c>
      <c r="E35" t="n">
        <v>-0.279770114</v>
      </c>
      <c r="F35" t="n">
        <v>0.25758945</v>
      </c>
      <c r="H35" t="n">
        <v>1.117514072</v>
      </c>
    </row>
    <row r="36">
      <c r="A36" t="inlineStr">
        <is>
          <t>Te Puna /Kerikeri Inlet System</t>
        </is>
      </c>
      <c r="B36" t="inlineStr">
        <is>
          <t>Deep drowned valley</t>
        </is>
      </c>
      <c r="C36" t="inlineStr">
        <is>
          <t>Yes</t>
        </is>
      </c>
      <c r="D36" t="n">
        <v>-1.309226004</v>
      </c>
      <c r="E36" t="n">
        <v>-0.218977349</v>
      </c>
      <c r="F36" t="n">
        <v>0.232976024</v>
      </c>
      <c r="H36" t="n">
        <v>1.302009813</v>
      </c>
    </row>
    <row r="37">
      <c r="A37" t="inlineStr">
        <is>
          <t>Waihi Estuary</t>
        </is>
      </c>
      <c r="B37" t="inlineStr">
        <is>
          <t>Tidal lagoon</t>
        </is>
      </c>
      <c r="C37" t="inlineStr">
        <is>
          <t>Yes</t>
        </is>
      </c>
      <c r="D37" t="n">
        <v>-0.571451728</v>
      </c>
      <c r="E37" t="n">
        <v>0.153573205</v>
      </c>
      <c r="F37" t="n">
        <v>0.275715458</v>
      </c>
      <c r="H37" t="n">
        <v>0.814916859</v>
      </c>
    </row>
    <row r="38">
      <c r="A38" t="inlineStr">
        <is>
          <t>Waikawa Harbour</t>
        </is>
      </c>
      <c r="B38" t="inlineStr">
        <is>
          <t>Tidal lagoon</t>
        </is>
      </c>
      <c r="C38" t="inlineStr">
        <is>
          <t>No</t>
        </is>
      </c>
      <c r="D38" t="n">
        <v>-1.272260273</v>
      </c>
      <c r="G38" t="n">
        <v>-0.251653419</v>
      </c>
      <c r="H38" t="n">
        <v>1.324695561</v>
      </c>
    </row>
    <row r="39">
      <c r="A39" t="inlineStr">
        <is>
          <t>Waimea Inlet</t>
        </is>
      </c>
      <c r="B39" t="inlineStr">
        <is>
          <t>Shallow drowned valley</t>
        </is>
      </c>
      <c r="C39" t="inlineStr">
        <is>
          <t>No</t>
        </is>
      </c>
      <c r="D39" t="n">
        <v>-2.067208757</v>
      </c>
      <c r="G39" t="n">
        <v>0.744025164</v>
      </c>
      <c r="H39" t="n">
        <v>2.1645137</v>
      </c>
    </row>
    <row r="40">
      <c r="A40" t="inlineStr">
        <is>
          <t>Waitemata Harbour System</t>
        </is>
      </c>
      <c r="B40" t="inlineStr">
        <is>
          <t>Shallow drowned valley</t>
        </is>
      </c>
      <c r="C40" t="inlineStr">
        <is>
          <t>Yes</t>
        </is>
      </c>
      <c r="D40" t="n">
        <v>-1.770958921</v>
      </c>
      <c r="E40" t="n">
        <v>0.214452349</v>
      </c>
      <c r="F40" t="n">
        <v>0.689672833</v>
      </c>
      <c r="H40" t="n">
        <v>1.860660019</v>
      </c>
    </row>
    <row r="41">
      <c r="A41" t="inlineStr">
        <is>
          <t>Wellington Harbour</t>
        </is>
      </c>
      <c r="B41" t="inlineStr">
        <is>
          <t>Deep drowned valley</t>
        </is>
      </c>
      <c r="C41" t="inlineStr">
        <is>
          <t>No</t>
        </is>
      </c>
      <c r="D41" t="n">
        <v>-0.72104214</v>
      </c>
      <c r="G41" t="n">
        <v>-0.129372564</v>
      </c>
      <c r="H41" t="n">
        <v>0.762467034</v>
      </c>
    </row>
    <row r="42">
      <c r="A42" t="inlineStr">
        <is>
          <t>Whanganui Inlet</t>
        </is>
      </c>
      <c r="B42" t="inlineStr">
        <is>
          <t>Shallow drowned valley</t>
        </is>
      </c>
      <c r="C42" t="inlineStr">
        <is>
          <t>No</t>
        </is>
      </c>
      <c r="D42" t="n">
        <v>-0.508329528</v>
      </c>
      <c r="G42" t="n">
        <v>0.483059829</v>
      </c>
      <c r="H42" t="n">
        <v>1.355519924</v>
      </c>
    </row>
    <row r="43">
      <c r="A43" t="inlineStr">
        <is>
          <t>Whangapoua Harbour</t>
        </is>
      </c>
      <c r="B43" t="inlineStr">
        <is>
          <t>Tidal lagoon</t>
        </is>
      </c>
      <c r="C43" t="inlineStr">
        <is>
          <t>Yes</t>
        </is>
      </c>
      <c r="D43" t="n">
        <v>-1.073630211</v>
      </c>
      <c r="E43" t="n">
        <v>0.01978939</v>
      </c>
      <c r="F43" t="n">
        <v>0.583313037</v>
      </c>
      <c r="H43" t="n">
        <v>1.173168817</v>
      </c>
    </row>
    <row r="44">
      <c r="A44" t="inlineStr">
        <is>
          <t>Whangarei Harbour System</t>
        </is>
      </c>
      <c r="B44" t="inlineStr">
        <is>
          <t>Shallow drowned valley</t>
        </is>
      </c>
      <c r="C44" t="inlineStr">
        <is>
          <t>Yes</t>
        </is>
      </c>
      <c r="D44" t="n">
        <v>-1.45991035</v>
      </c>
      <c r="E44" t="n">
        <v>-0.267596409</v>
      </c>
      <c r="F44" t="n">
        <v>0.348220487</v>
      </c>
      <c r="H44" t="n">
        <v>1.488972591</v>
      </c>
    </row>
    <row r="45">
      <c r="A45" t="inlineStr">
        <is>
          <t>Whangaroa Harbour</t>
        </is>
      </c>
      <c r="B45" t="inlineStr">
        <is>
          <t>Deep drowned valley</t>
        </is>
      </c>
      <c r="C45" t="inlineStr">
        <is>
          <t>Yes</t>
        </is>
      </c>
      <c r="D45" t="n">
        <v>-1.31933894</v>
      </c>
      <c r="E45" t="n">
        <v>0.138694102</v>
      </c>
      <c r="F45" t="n">
        <v>0.487137478</v>
      </c>
      <c r="H45" t="n">
        <v>1.304908009</v>
      </c>
    </row>
    <row r="46">
      <c r="A46" t="inlineStr">
        <is>
          <t>Whangateau Harbour</t>
        </is>
      </c>
      <c r="B46" t="inlineStr">
        <is>
          <t>Tidal lagoon</t>
        </is>
      </c>
      <c r="C46" t="inlineStr">
        <is>
          <t>Yes</t>
        </is>
      </c>
      <c r="D46" t="n">
        <v>-1.442590672</v>
      </c>
      <c r="E46" t="n">
        <v>-0.124026537</v>
      </c>
      <c r="F46" t="n">
        <v>0.224864852</v>
      </c>
      <c r="H46" t="n">
        <v>1.463704648</v>
      </c>
    </row>
    <row r="47">
      <c r="A47" t="inlineStr">
        <is>
          <t>Whitford Embayment System (WES)</t>
        </is>
      </c>
      <c r="B47" t="inlineStr">
        <is>
          <t>Shallow drowned valley</t>
        </is>
      </c>
      <c r="C47" t="inlineStr">
        <is>
          <t>Yes</t>
        </is>
      </c>
      <c r="D47" t="n">
        <v>-1.727531234</v>
      </c>
      <c r="E47" t="n">
        <v>0.325492183</v>
      </c>
      <c r="F47" t="n">
        <v>0.868312791</v>
      </c>
      <c r="H47" t="n">
        <v>1.786991208</v>
      </c>
    </row>
    <row r="48">
      <c r="A48" t="inlineStr">
        <is>
          <t>Whitianga Harbour (MBS)</t>
        </is>
      </c>
      <c r="B48" t="inlineStr">
        <is>
          <t>Tidal lagoon</t>
        </is>
      </c>
      <c r="C48" t="inlineStr">
        <is>
          <t>Yes</t>
        </is>
      </c>
      <c r="D48" t="n">
        <v>-1.107120872</v>
      </c>
      <c r="E48" t="n">
        <v>-0.137899182</v>
      </c>
      <c r="F48" t="n">
        <v>0.281698364</v>
      </c>
      <c r="H48" t="n">
        <v>1.136647693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6" customWidth="1" min="1" max="1"/>
    <col width="55" customWidth="1" min="2" max="2"/>
    <col width="40" customWidth="1" min="3" max="3"/>
    <col width="30" customWidth="1" min="4" max="4"/>
  </cols>
  <sheetData>
    <row r="1">
      <c r="A1" s="5" t="inlineStr">
        <is>
          <t>Estuary</t>
        </is>
      </c>
      <c r="B1" s="5" t="inlineStr">
        <is>
          <t>Reason excluded</t>
        </is>
      </c>
      <c r="C1" s="5" t="inlineStr">
        <is>
          <t>Habitat boundary data available?</t>
        </is>
      </c>
      <c r="D1" s="5" t="inlineStr">
        <is>
          <t>Tidal datum data available?</t>
        </is>
      </c>
    </row>
    <row r="2" ht="45" customHeight="1">
      <c r="A2" s="2" t="inlineStr">
        <is>
          <t>Patterson Inlet / Big Glory Bay</t>
        </is>
      </c>
      <c r="B2" s="2" t="inlineStr">
        <is>
          <t>Habitat elevation data were entirely invalid (-9999 fill value) — no usable elevation samples for any habitat.</t>
        </is>
      </c>
      <c r="C2" s="2" t="inlineStr">
        <is>
          <t>No</t>
        </is>
      </c>
      <c r="D2" s="2" t="inlineStr">
        <is>
          <t>Yes</t>
        </is>
      </c>
    </row>
    <row r="3" ht="45" customHeight="1">
      <c r="A3" s="2" t="inlineStr">
        <is>
          <t>Blueskin Bay</t>
        </is>
      </c>
      <c r="B3" s="2" t="inlineStr">
        <is>
          <t>TELEMAC tidal statistics were anomalous and could not be interpreted with confidence.</t>
        </is>
      </c>
      <c r="C3" s="2" t="inlineStr">
        <is>
          <t>Yes (seagrass-saltmarsh boundary estimated) — not used, since tidal datums could not be trusted</t>
        </is>
      </c>
      <c r="D3" s="2" t="inlineStr">
        <is>
          <t>Present but not usable</t>
        </is>
      </c>
    </row>
    <row r="4" ht="45" customHeight="1">
      <c r="A4" s="2" t="inlineStr">
        <is>
          <t>Jacobs River</t>
        </is>
      </c>
      <c r="B4" s="2" t="inlineStr">
        <is>
          <t>Only saltmarsh habitat was mapped at this site; no second habitat class was present, so no elevation transition boundary could be estimated.</t>
        </is>
      </c>
      <c r="C4" s="2" t="inlineStr">
        <is>
          <t>No (no transition to estimate)</t>
        </is>
      </c>
      <c r="D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2026-07-28T01:21:22Z</dcterms:created>
  <dcterms:modified xmlns:dcterms="http://purl.org/dc/terms/" xmlns:xsi="http://www.w3.org/2001/XMLSchema-instance" xsi:type="dcterms:W3CDTF">2026-07-28T01:23:05Z</dcterms:modified>
</cp:coreProperties>
</file>